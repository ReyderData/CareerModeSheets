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IGNACI_STUFF\FOOTBALL\CAREER_RUNS\LARRO&amp;ME\PARMA\"/>
    </mc:Choice>
  </mc:AlternateContent>
  <xr:revisionPtr revIDLastSave="0" documentId="13_ncr:1_{31D58418-B275-4831-8632-CDB3D5B78DEE}" xr6:coauthVersionLast="47" xr6:coauthVersionMax="47" xr10:uidLastSave="{00000000-0000-0000-0000-000000000000}"/>
  <workbookProtection workbookAlgorithmName="SHA-512" workbookHashValue="xsfqd94Ih8uxvu08DX295G9/gByGEdeq/ricrKPpKuhdkwv/TtcnUOpIC7LHktS8B0HxRQlJAOKRLQW/Dsd7wg==" workbookSaltValue="+WSbXjWcEytd7OKQkHwWrQ==" workbookSpinCount="100000" lockStructure="1"/>
  <bookViews>
    <workbookView xWindow="-120" yWindow="-120" windowWidth="29040" windowHeight="15840" tabRatio="629" firstSheet="4" activeTab="4" xr2:uid="{00000000-000D-0000-FFFF-FFFF00000000}"/>
  </bookViews>
  <sheets>
    <sheet name="DATOS" sheetId="1" state="hidden" r:id="rId1"/>
    <sheet name="STATS_JUGADORES" sheetId="2" state="hidden" r:id="rId2"/>
    <sheet name="Macro_Finder" sheetId="5" state="hidden" r:id="rId3"/>
    <sheet name="GRÁFICOS" sheetId="3" state="hidden" r:id="rId4"/>
    <sheet name="Dashboard" sheetId="7" r:id="rId5"/>
    <sheet name="Finances_Dashboard" sheetId="9" r:id="rId6"/>
    <sheet name="Pruebas y desechos" sheetId="4" state="hidden" r:id="rId7"/>
  </sheets>
  <definedNames>
    <definedName name="_xlnm._FilterDatabase" localSheetId="1" hidden="1">STATS_JUGADORES!$A$1:$L$99</definedName>
    <definedName name="_xlcn.WorksheetConnection_CareerMode_Sheets.xlsmAllPlayersList1" hidden="1">AllPlayersList[]</definedName>
    <definedName name="_xlcn.WorksheetConnection_CareerMode_Sheets.xlsmTabla11" hidden="1">Tabla1[]</definedName>
    <definedName name="_xlcn.WorksheetConnection_Modo_Carrera_Parma.xlsxVentas1" hidden="1">Ventas[]</definedName>
    <definedName name="_xlnm.Extract" localSheetId="2">Macro_Finder!$G$4:$J$5</definedName>
    <definedName name="_xlnm.Criteria" localSheetId="2">Macro_Finder!$C$4:$D$5</definedName>
    <definedName name="Gastos" localSheetId="1">STATS_JUGADORES!$B$26</definedName>
    <definedName name="SeasonsList" localSheetId="5">Tabla1[Temporadas]</definedName>
    <definedName name="SeasonsList">Tabla1[Temporadas]</definedName>
    <definedName name="SegmentaciónDeDatos_Pierna_habil">#N/A</definedName>
    <definedName name="SegmentaciónDeDatos_Posición">#N/A</definedName>
    <definedName name="SegmentaciónDeDatos_Rol">#N/A</definedName>
    <definedName name="SegmentaciónDeDatos_Temporada">#N/A</definedName>
  </definedNames>
  <calcPr calcId="191029"/>
  <pivotCaches>
    <pivotCache cacheId="1217" r:id="rId8"/>
    <pivotCache cacheId="1709" r:id="rId9"/>
    <pivotCache cacheId="1760" r:id="rId10"/>
    <pivotCache cacheId="1763" r:id="rId11"/>
    <pivotCache cacheId="1766" r:id="rId12"/>
    <pivotCache cacheId="1769" r:id="rId13"/>
    <pivotCache cacheId="1772" r:id="rId14"/>
    <pivotCache cacheId="1775" r:id="rId15"/>
    <pivotCache cacheId="1778" r:id="rId16"/>
    <pivotCache cacheId="1781" r:id="rId17"/>
  </pivotCaches>
  <extLst>
    <ext xmlns:x14="http://schemas.microsoft.com/office/spreadsheetml/2009/9/main" uri="{876F7934-8845-4945-9796-88D515C7AA90}">
      <x14:pivotCaches>
        <pivotCache cacheId="1191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EstadisticasJugadores 1_923a24dd-f0bf-41ba-89bf-095696c250aa" name="EstadisticasJugadores 1" connection="Consulta - EstadisticasJugadores"/>
          <x15:modelTable id="Fichajes 1_bf773d9b-032e-40e4-b675-46df87a262e0" name="Fichajes 1" connection="Consulta - Fichajes"/>
          <x15:modelTable id="Ventas 1_4cb2853a-2613-42e5-9628-ae06fefb22b1" name="Ventas 1" connection="Consulta - Ventas"/>
          <x15:modelTable id="Ventas" name="Ventas" connection="WorksheetConnection_Modo_Carrera_Parma.xlsx!Ventas"/>
          <x15:modelTable id="AllPlayersList" name="AllPlayersList" connection="WorksheetConnection_CareerMode_Sheets.xlsm!AllPlayersList"/>
          <x15:modelTable id="Tabla1" name="Tabla1" connection="WorksheetConnection_CareerMode_Sheets.xlsm!Tabla1"/>
        </x15:modelTables>
        <x15:modelRelationships>
          <x15:modelRelationship fromTable="EstadisticasJugadores 1" fromColumn="Nombre" toTable="AllPlayersList" toColumn="Name"/>
          <x15:modelRelationship fromTable="Fichajes 1" fromColumn="Temporada" toTable="Tabla1" toColumn="Temporadas"/>
          <x15:modelRelationship fromTable="Ventas 1" fromColumn="Temporada" toTable="Tabla1" toColumn="Temporadas"/>
          <x15:modelRelationship fromTable="AllPlayersList" fromColumn="Name" toTable="Fichajes 1" toColumn="Nomb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" l="1"/>
  <c r="D6" i="4" a="1"/>
  <c r="D6" i="4" s="1"/>
  <c r="F7" i="4" s="1"/>
  <c r="I27" i="1"/>
  <c r="I28" i="1"/>
  <c r="I29" i="1"/>
  <c r="J27" i="1"/>
  <c r="K27" i="1" s="1"/>
  <c r="J28" i="1"/>
  <c r="K28" i="1" s="1"/>
  <c r="J29" i="1"/>
  <c r="K29" i="1" s="1"/>
  <c r="I24" i="1"/>
  <c r="J24" i="1"/>
  <c r="K24" i="1" s="1"/>
  <c r="I25" i="1"/>
  <c r="J25" i="1"/>
  <c r="K25" i="1" s="1"/>
  <c r="I26" i="1"/>
  <c r="J26" i="1"/>
  <c r="K26" i="1" s="1"/>
  <c r="I23" i="1"/>
  <c r="J23" i="1"/>
  <c r="K23" i="1" s="1"/>
  <c r="I22" i="1"/>
  <c r="J22" i="1"/>
  <c r="K2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K18" i="1" s="1"/>
  <c r="J19" i="1"/>
  <c r="K19" i="1" s="1"/>
  <c r="J20" i="1"/>
  <c r="K20" i="1" s="1"/>
  <c r="J21" i="1"/>
  <c r="K21" i="1" s="1"/>
  <c r="J2" i="1"/>
  <c r="I21" i="1"/>
  <c r="I20" i="1"/>
  <c r="I19" i="1"/>
  <c r="I18" i="1"/>
  <c r="B6" i="4" a="1"/>
  <c r="B6" i="4" s="1"/>
  <c r="F10" i="4" l="1"/>
  <c r="F9" i="4"/>
  <c r="F8" i="4"/>
  <c r="W7" i="1"/>
  <c r="V7" i="1"/>
  <c r="K17" i="1" l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W2" i="1"/>
  <c r="K2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AB738E-190B-4BFA-9AE8-E88E8113E25C}" name="Consulta - EstadisticasJugadores" description="Conexión a la consulta 'EstadisticasJugadores' en el libro." type="100" refreshedVersion="8" minRefreshableVersion="5">
    <extLst>
      <ext xmlns:x15="http://schemas.microsoft.com/office/spreadsheetml/2010/11/main" uri="{DE250136-89BD-433C-8126-D09CA5730AF9}">
        <x15:connection id="b21f8c31-dcfd-4497-9d91-fd77b1153629"/>
      </ext>
    </extLst>
  </connection>
  <connection id="2" xr16:uid="{D43D355E-C956-4F30-A123-687EE0ADEA92}" name="Consulta - Fichajes" description="Conexión a la consulta 'Fichajes' en el libro." type="100" refreshedVersion="8" minRefreshableVersion="5">
    <extLst>
      <ext xmlns:x15="http://schemas.microsoft.com/office/spreadsheetml/2010/11/main" uri="{DE250136-89BD-433C-8126-D09CA5730AF9}">
        <x15:connection id="1ea719b2-69e6-40a2-918d-aecb886f6fb5"/>
      </ext>
    </extLst>
  </connection>
  <connection id="3" xr16:uid="{51FB9BE3-649D-4AB8-957B-FC9E094A1EE6}" name="Consulta - Ventas" description="Conexión a la consulta 'Ventas' en el libro." type="100" refreshedVersion="8" minRefreshableVersion="5">
    <extLst>
      <ext xmlns:x15="http://schemas.microsoft.com/office/spreadsheetml/2010/11/main" uri="{DE250136-89BD-433C-8126-D09CA5730AF9}">
        <x15:connection id="92041c53-f03a-458a-944c-2233a7385f8d"/>
      </ext>
    </extLst>
  </connection>
  <connection id="4" xr16:uid="{91C9F33C-AE76-4D13-9B5B-30B1BBE40E9F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F96D463-3A88-464F-889A-E3A337D498FB}" name="WorksheetConnection_CareerMode_Sheets.xlsm!AllPlayersList" type="102" refreshedVersion="8" minRefreshableVersion="5">
    <extLst>
      <ext xmlns:x15="http://schemas.microsoft.com/office/spreadsheetml/2010/11/main" uri="{DE250136-89BD-433C-8126-D09CA5730AF9}">
        <x15:connection id="AllPlayersList">
          <x15:rangePr sourceName="_xlcn.WorksheetConnection_CareerMode_Sheets.xlsmAllPlayersList1"/>
        </x15:connection>
      </ext>
    </extLst>
  </connection>
  <connection id="6" xr16:uid="{7F3206EE-1D08-4AC1-9746-61B3B15C4649}" name="WorksheetConnection_CareerMode_Sheets.xlsm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CareerMode_Sheets.xlsmTabla11"/>
        </x15:connection>
      </ext>
    </extLst>
  </connection>
  <connection id="7" xr16:uid="{00000000-0015-0000-FFFF-FFFF02000000}" name="WorksheetConnection_Modo_Carrera_Parma.xlsx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Modo_Carrera_Parma.xlsxVenta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<sst xmlns="http://schemas.openxmlformats.org/spreadsheetml/2006/main" count="815" uniqueCount="245">
  <si>
    <t>Temporada</t>
  </si>
  <si>
    <t>Edad</t>
  </si>
  <si>
    <t>Nombre</t>
  </si>
  <si>
    <t>Nacionalidad</t>
  </si>
  <si>
    <t>Posición</t>
  </si>
  <si>
    <t>Pierna habil</t>
  </si>
  <si>
    <t>Valor de mercado</t>
  </si>
  <si>
    <t>Precio fichaje</t>
  </si>
  <si>
    <t>Balance obtenido</t>
  </si>
  <si>
    <t>Precio Venta</t>
  </si>
  <si>
    <t>Balance Venta</t>
  </si>
  <si>
    <t>Sueldo ofrecido</t>
  </si>
  <si>
    <t>Años contrato</t>
  </si>
  <si>
    <t>Rol</t>
  </si>
  <si>
    <t>Equipo procedencia</t>
  </si>
  <si>
    <t>Total ingresos ventas</t>
  </si>
  <si>
    <t>Total gastos fichajes</t>
  </si>
  <si>
    <t>22/23</t>
  </si>
  <si>
    <t>Ibrahima Bamba</t>
  </si>
  <si>
    <t>ITA</t>
  </si>
  <si>
    <t>DFC</t>
  </si>
  <si>
    <t>Right</t>
  </si>
  <si>
    <t>5 años</t>
  </si>
  <si>
    <t>Importante</t>
  </si>
  <si>
    <t>Vitoria SC</t>
  </si>
  <si>
    <t>Franco Vázquez</t>
  </si>
  <si>
    <t>Giorgio Scalvini</t>
  </si>
  <si>
    <t>4 años</t>
  </si>
  <si>
    <t>Atalanta</t>
  </si>
  <si>
    <t>Vincent Laurini</t>
  </si>
  <si>
    <t>Hugo Bueno</t>
  </si>
  <si>
    <t>ESP</t>
  </si>
  <si>
    <t>LI/CAI</t>
  </si>
  <si>
    <t>Left</t>
  </si>
  <si>
    <t>Wolverhampton</t>
  </si>
  <si>
    <t>Valentin Mihaila</t>
  </si>
  <si>
    <t>Frankie Amaya</t>
  </si>
  <si>
    <t>USA</t>
  </si>
  <si>
    <t>CDM</t>
  </si>
  <si>
    <t>Red Bull New York</t>
  </si>
  <si>
    <t>Antoine Hainaut</t>
  </si>
  <si>
    <t>Alvaro Aguado</t>
  </si>
  <si>
    <t>CM</t>
  </si>
  <si>
    <t>Clave</t>
  </si>
  <si>
    <t>Valladolid</t>
  </si>
  <si>
    <t>Simon Sohm</t>
  </si>
  <si>
    <t>Fabio Chiarodia</t>
  </si>
  <si>
    <t>Ocasional</t>
  </si>
  <si>
    <t>Werder Bremen</t>
  </si>
  <si>
    <t>Inglese</t>
  </si>
  <si>
    <t>Igor Vetokele</t>
  </si>
  <si>
    <t>ANG</t>
  </si>
  <si>
    <t>DC</t>
  </si>
  <si>
    <t>2 años</t>
  </si>
  <si>
    <t>Rotación</t>
  </si>
  <si>
    <t>Westerlo</t>
  </si>
  <si>
    <t>Chichizola</t>
  </si>
  <si>
    <t>23/24</t>
  </si>
  <si>
    <t>Szymon Zurkowski</t>
  </si>
  <si>
    <t>POL</t>
  </si>
  <si>
    <t>Fiorentina</t>
  </si>
  <si>
    <t>Wylan Cyprien</t>
  </si>
  <si>
    <t>Isac Nilsson</t>
  </si>
  <si>
    <t>SUE</t>
  </si>
  <si>
    <t>Agente Libre</t>
  </si>
  <si>
    <t>Lautaro Valenti</t>
  </si>
  <si>
    <t>Ian Maatsen</t>
  </si>
  <si>
    <t>HOL</t>
  </si>
  <si>
    <t>Chelsea</t>
  </si>
  <si>
    <t>Nahuel Estevez</t>
  </si>
  <si>
    <t>Franco Fagundez</t>
  </si>
  <si>
    <t>URU</t>
  </si>
  <si>
    <t>CAM</t>
  </si>
  <si>
    <t>Pezzella</t>
  </si>
  <si>
    <t>Pozuelo</t>
  </si>
  <si>
    <t>3 años</t>
  </si>
  <si>
    <t>Grassi</t>
  </si>
  <si>
    <t>Marco Capuano</t>
  </si>
  <si>
    <t>Tutino</t>
  </si>
  <si>
    <t>Valentín Gomez</t>
  </si>
  <si>
    <t>ARG</t>
  </si>
  <si>
    <t>Velez Sarsfield</t>
  </si>
  <si>
    <t>Corvi</t>
  </si>
  <si>
    <t>Brandon Soppy</t>
  </si>
  <si>
    <t>FRA</t>
  </si>
  <si>
    <t>LD/CAD</t>
  </si>
  <si>
    <t>Camara</t>
  </si>
  <si>
    <t>Wilfried Gnonto</t>
  </si>
  <si>
    <t>MI</t>
  </si>
  <si>
    <t>Leeds United</t>
  </si>
  <si>
    <t>Elias Ferri</t>
  </si>
  <si>
    <t>Bonny</t>
  </si>
  <si>
    <t>Cobbaut</t>
  </si>
  <si>
    <t>Balogh</t>
  </si>
  <si>
    <t>Benedyczak</t>
  </si>
  <si>
    <t>Martin Turk</t>
  </si>
  <si>
    <t>Goles</t>
  </si>
  <si>
    <t>Asistencias</t>
  </si>
  <si>
    <t>Tarjetas amarillas</t>
  </si>
  <si>
    <t>Tarjetas rojas</t>
  </si>
  <si>
    <t>Porterias a cero</t>
  </si>
  <si>
    <t>Partidos jugados</t>
  </si>
  <si>
    <t>Cresposo</t>
  </si>
  <si>
    <t>Dennis Man</t>
  </si>
  <si>
    <t>Franco Fagúndez</t>
  </si>
  <si>
    <t>Hernani</t>
  </si>
  <si>
    <t>Temporadas</t>
  </si>
  <si>
    <t>24/25</t>
  </si>
  <si>
    <t>Total ingresos ventas por año</t>
  </si>
  <si>
    <t>Total gastos fichajes por año</t>
  </si>
  <si>
    <t>Buffon</t>
  </si>
  <si>
    <t>Cannavaro</t>
  </si>
  <si>
    <t>Valentin Gomez</t>
  </si>
  <si>
    <t>Wijnaldum</t>
  </si>
  <si>
    <t>Pääsuke</t>
  </si>
  <si>
    <t>Adrián Serrano</t>
  </si>
  <si>
    <t>Valoración Final</t>
  </si>
  <si>
    <t>Valoración Inicio</t>
  </si>
  <si>
    <t>Media Rendimiento</t>
  </si>
  <si>
    <t>Khéphren Thuram</t>
  </si>
  <si>
    <t>OGC Niza</t>
  </si>
  <si>
    <t>Valor mercado Final</t>
  </si>
  <si>
    <t>Stanko Juric</t>
  </si>
  <si>
    <t>Enrico Delprato</t>
  </si>
  <si>
    <t>Adrián Bernabé</t>
  </si>
  <si>
    <t>Unique Players List</t>
  </si>
  <si>
    <t>Buscar Fila</t>
  </si>
  <si>
    <t>Alessandro Circati</t>
  </si>
  <si>
    <t>Colombo</t>
  </si>
  <si>
    <t>Emmanuel Bamba</t>
  </si>
  <si>
    <t>Julio Pinto</t>
  </si>
  <si>
    <t>Vasilis Zagaritis</t>
  </si>
  <si>
    <t>Adriano Gonçalves</t>
  </si>
  <si>
    <t>Ibrahim Camara</t>
  </si>
  <si>
    <t xml:space="preserve">Max Gallo </t>
  </si>
  <si>
    <t>Woyo Coulibaly</t>
  </si>
  <si>
    <t>Leandro Paredes</t>
  </si>
  <si>
    <t>Destiny Udogie</t>
  </si>
  <si>
    <t>Tottenham</t>
  </si>
  <si>
    <t>Monza</t>
  </si>
  <si>
    <t>Samaras</t>
  </si>
  <si>
    <t>Fabio Miretti</t>
  </si>
  <si>
    <t>Lorenzo Pellegrini</t>
  </si>
  <si>
    <t>AS Roma</t>
  </si>
  <si>
    <t>3.900.000 €</t>
  </si>
  <si>
    <t>Jerome Rousillon</t>
  </si>
  <si>
    <t>Sepp</t>
  </si>
  <si>
    <t>84.500.000 €</t>
  </si>
  <si>
    <t>297.000.000 €</t>
  </si>
  <si>
    <t>34.000.000 €</t>
  </si>
  <si>
    <t>68.500.000 €</t>
  </si>
  <si>
    <t>97.500.000 €</t>
  </si>
  <si>
    <t>8.500.000 €</t>
  </si>
  <si>
    <t>22.500.000 €</t>
  </si>
  <si>
    <t>63.000.000 €</t>
  </si>
  <si>
    <t>68.000.000 €</t>
  </si>
  <si>
    <t>53.000.000 €</t>
  </si>
  <si>
    <t>27.000.000 €</t>
  </si>
  <si>
    <t>19.500.000 €</t>
  </si>
  <si>
    <t>32.500.000 €</t>
  </si>
  <si>
    <t>21.500.000 €</t>
  </si>
  <si>
    <t>57.000.000 €</t>
  </si>
  <si>
    <t>8.000.000 €</t>
  </si>
  <si>
    <t>35.000.000 €</t>
  </si>
  <si>
    <t>Vincenzo Longo</t>
  </si>
  <si>
    <t>23.500.000 €</t>
  </si>
  <si>
    <t>6,67</t>
  </si>
  <si>
    <t>10.500.000 €</t>
  </si>
  <si>
    <t>14.000.000 €</t>
  </si>
  <si>
    <t>16.000.000 €</t>
  </si>
  <si>
    <t>Andrus Rebane</t>
  </si>
  <si>
    <t>3.600.000 €</t>
  </si>
  <si>
    <t>Jerome Roussillon</t>
  </si>
  <si>
    <t>25/26</t>
  </si>
  <si>
    <t>Wilfried Singo</t>
  </si>
  <si>
    <t>CIV</t>
  </si>
  <si>
    <t>Torino</t>
  </si>
  <si>
    <t>Bryan Cristante</t>
  </si>
  <si>
    <t>Xavi Simons</t>
  </si>
  <si>
    <t>PSV</t>
  </si>
  <si>
    <t>Koffi</t>
  </si>
  <si>
    <t>Leo Bellini</t>
  </si>
  <si>
    <t>Saul Hurtado</t>
  </si>
  <si>
    <t>Andres Kaya</t>
  </si>
  <si>
    <t>Alex Dos Santos</t>
  </si>
  <si>
    <t>Thabit Abbas</t>
  </si>
  <si>
    <t>Cristian Romero</t>
  </si>
  <si>
    <t>Milos Kerkez</t>
  </si>
  <si>
    <t>HUN</t>
  </si>
  <si>
    <t>28.500.000 €</t>
  </si>
  <si>
    <t>Getafe</t>
  </si>
  <si>
    <t>Christopher Nkunku</t>
  </si>
  <si>
    <t>SD</t>
  </si>
  <si>
    <t>RB Leipzig</t>
  </si>
  <si>
    <t>Igor Blanco</t>
  </si>
  <si>
    <t>Casadei</t>
  </si>
  <si>
    <t>Nilsson</t>
  </si>
  <si>
    <t>77.500.000 €</t>
  </si>
  <si>
    <t>11.000.000 €</t>
  </si>
  <si>
    <t>17.000.000 €</t>
  </si>
  <si>
    <t>172.000.000 €</t>
  </si>
  <si>
    <t>78.000.000 €</t>
  </si>
  <si>
    <t>289.000.000 €</t>
  </si>
  <si>
    <t>cannavaro</t>
  </si>
  <si>
    <t>214.000.000 €</t>
  </si>
  <si>
    <t>54.500.000 €</t>
  </si>
  <si>
    <t>78.500.000 €</t>
  </si>
  <si>
    <t>94.000.000 €</t>
  </si>
  <si>
    <t>90.500.000 €</t>
  </si>
  <si>
    <t>47.000.000 €</t>
  </si>
  <si>
    <t>45.500.000 €</t>
  </si>
  <si>
    <t>47.500.000 €</t>
  </si>
  <si>
    <t>25.500.000 €</t>
  </si>
  <si>
    <t>32.000.000 €</t>
  </si>
  <si>
    <t>79.000.000 €</t>
  </si>
  <si>
    <t>122.500.000 €</t>
  </si>
  <si>
    <t>17.500.000 €</t>
  </si>
  <si>
    <t>33.000.000 €</t>
  </si>
  <si>
    <t>55.500.000 €</t>
  </si>
  <si>
    <t>Joakim Andreassen</t>
  </si>
  <si>
    <t>Afonso Correa</t>
  </si>
  <si>
    <t>12.000.000 €</t>
  </si>
  <si>
    <t>Bright Akwo Arrey-Mbi</t>
  </si>
  <si>
    <t>11.500.000 €</t>
  </si>
  <si>
    <t>2.800.000 €</t>
  </si>
  <si>
    <t>Etiquetas de fila</t>
  </si>
  <si>
    <t>Total general</t>
  </si>
  <si>
    <t>Precio</t>
  </si>
  <si>
    <t>Suma de Goles</t>
  </si>
  <si>
    <t>Recuento de Nombre</t>
  </si>
  <si>
    <t>Suma de Asistencias</t>
  </si>
  <si>
    <t>Etiquetas de columna</t>
  </si>
  <si>
    <t>Suma de Cambio valoración</t>
  </si>
  <si>
    <t>Suma de Partidos jugados</t>
  </si>
  <si>
    <t>Suma de Precio fichaje</t>
  </si>
  <si>
    <t xml:space="preserve">Balance </t>
  </si>
  <si>
    <t>Yellow Cards</t>
  </si>
  <si>
    <t>Red cards</t>
  </si>
  <si>
    <t>Goals</t>
  </si>
  <si>
    <t>Assists</t>
  </si>
  <si>
    <t>Average Performance Rate</t>
  </si>
  <si>
    <t>Ids</t>
  </si>
  <si>
    <t>Name</t>
  </si>
  <si>
    <t>Suma de Sueldo ofrecido</t>
  </si>
  <si>
    <t>Suma de Balance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</si>
</sst>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[$€]"/>
    <numFmt numFmtId="165" formatCode="_-* #,##0\ &quot;€&quot;_-;\-* #,##0\ &quot;€&quot;_-;_-* &quot;-&quot;??\ &quot;€&quot;_-;_-@_-"/>
    <numFmt numFmtId="166" formatCode="#,##0\ &quot;€&quot;"/>
    <numFmt numFmtId="175" formatCode="_-* #,##0.00\ [$€-C0A]_-;\-* #,##0.00\ [$€-C0A]_-;_-* &quot;-&quot;??\ [$€-C0A]_-;_-@_-"/>
  </numFmts>
  <fonts count="9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scheme val="minor"/>
    </font>
    <font>
      <sz val="10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E06666"/>
        <bgColor rgb="FFE06666"/>
      </patternFill>
    </fill>
    <fill>
      <patternFill patternType="solid">
        <fgColor rgb="FFB6D7A8"/>
        <bgColor rgb="FFB6D7A8"/>
      </patternFill>
    </fill>
    <fill>
      <patternFill patternType="solid">
        <fgColor rgb="FFEA9999"/>
        <bgColor rgb="FFEA99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1">
    <xf numFmtId="0" fontId="0" fillId="0" borderId="0" xfId="0"/>
    <xf numFmtId="4" fontId="1" fillId="0" borderId="0" xfId="0" applyNumberFormat="1" applyFont="1"/>
    <xf numFmtId="164" fontId="1" fillId="2" borderId="0" xfId="0" applyNumberFormat="1" applyFont="1" applyFill="1"/>
    <xf numFmtId="164" fontId="1" fillId="3" borderId="0" xfId="0" applyNumberFormat="1" applyFont="1" applyFill="1"/>
    <xf numFmtId="164" fontId="1" fillId="4" borderId="0" xfId="0" applyNumberFormat="1" applyFont="1" applyFill="1"/>
    <xf numFmtId="164" fontId="1" fillId="5" borderId="0" xfId="0" applyNumberFormat="1" applyFont="1" applyFill="1"/>
    <xf numFmtId="164" fontId="1" fillId="0" borderId="0" xfId="0" applyNumberFormat="1" applyFont="1"/>
    <xf numFmtId="1" fontId="1" fillId="0" borderId="0" xfId="0" applyNumberFormat="1" applyFont="1"/>
    <xf numFmtId="165" fontId="0" fillId="0" borderId="0" xfId="1" applyNumberFormat="1" applyFont="1"/>
    <xf numFmtId="165" fontId="1" fillId="0" borderId="0" xfId="1" applyNumberFormat="1" applyFont="1" applyBorder="1"/>
    <xf numFmtId="1" fontId="1" fillId="0" borderId="1" xfId="0" applyNumberFormat="1" applyFont="1" applyBorder="1"/>
    <xf numFmtId="0" fontId="0" fillId="0" borderId="0" xfId="0" applyAlignment="1">
      <alignment horizontal="left"/>
    </xf>
    <xf numFmtId="0" fontId="2" fillId="0" borderId="0" xfId="0" applyFont="1"/>
    <xf numFmtId="49" fontId="0" fillId="0" borderId="0" xfId="0" applyNumberFormat="1"/>
    <xf numFmtId="4" fontId="1" fillId="6" borderId="0" xfId="0" applyNumberFormat="1" applyFont="1" applyFill="1"/>
    <xf numFmtId="4" fontId="1" fillId="7" borderId="0" xfId="0" applyNumberFormat="1" applyFont="1" applyFill="1"/>
    <xf numFmtId="164" fontId="3" fillId="2" borderId="0" xfId="0" applyNumberFormat="1" applyFont="1" applyFill="1"/>
    <xf numFmtId="164" fontId="3" fillId="3" borderId="0" xfId="0" applyNumberFormat="1" applyFont="1" applyFill="1"/>
    <xf numFmtId="164" fontId="3" fillId="4" borderId="0" xfId="0" applyNumberFormat="1" applyFont="1" applyFill="1"/>
    <xf numFmtId="164" fontId="3" fillId="5" borderId="0" xfId="0" applyNumberFormat="1" applyFont="1" applyFill="1"/>
    <xf numFmtId="2" fontId="1" fillId="0" borderId="0" xfId="0" applyNumberFormat="1" applyFont="1"/>
    <xf numFmtId="2" fontId="0" fillId="0" borderId="0" xfId="0" applyNumberFormat="1"/>
    <xf numFmtId="165" fontId="1" fillId="0" borderId="0" xfId="1" applyNumberFormat="1" applyFont="1"/>
    <xf numFmtId="0" fontId="0" fillId="7" borderId="0" xfId="0" applyFill="1"/>
    <xf numFmtId="1" fontId="3" fillId="8" borderId="2" xfId="0" applyNumberFormat="1" applyFont="1" applyFill="1" applyBorder="1"/>
    <xf numFmtId="2" fontId="3" fillId="8" borderId="2" xfId="0" applyNumberFormat="1" applyFont="1" applyFill="1" applyBorder="1"/>
    <xf numFmtId="0" fontId="7" fillId="0" borderId="0" xfId="0" applyFont="1"/>
    <xf numFmtId="0" fontId="0" fillId="0" borderId="5" xfId="0" applyBorder="1"/>
    <xf numFmtId="0" fontId="0" fillId="0" borderId="6" xfId="0" applyBorder="1"/>
    <xf numFmtId="0" fontId="0" fillId="9" borderId="7" xfId="0" applyFill="1" applyBorder="1"/>
    <xf numFmtId="165" fontId="7" fillId="0" borderId="0" xfId="1" applyNumberFormat="1" applyFont="1"/>
    <xf numFmtId="0" fontId="2" fillId="10" borderId="8" xfId="0" applyFont="1" applyFill="1" applyBorder="1"/>
    <xf numFmtId="165" fontId="0" fillId="0" borderId="0" xfId="1" applyNumberFormat="1" applyFont="1" applyBorder="1"/>
    <xf numFmtId="0" fontId="2" fillId="0" borderId="0" xfId="0" applyFont="1" applyAlignment="1">
      <alignment horizontal="right" wrapText="1"/>
    </xf>
    <xf numFmtId="0" fontId="2" fillId="0" borderId="0" xfId="0" applyFont="1" applyAlignment="1">
      <alignment wrapText="1"/>
    </xf>
    <xf numFmtId="8" fontId="2" fillId="0" borderId="0" xfId="0" applyNumberFormat="1" applyFont="1" applyAlignment="1">
      <alignment horizontal="right" wrapText="1"/>
    </xf>
    <xf numFmtId="0" fontId="0" fillId="0" borderId="9" xfId="0" applyBorder="1"/>
    <xf numFmtId="165" fontId="0" fillId="0" borderId="0" xfId="1" applyNumberFormat="1" applyFont="1" applyFill="1" applyBorder="1"/>
    <xf numFmtId="165" fontId="1" fillId="0" borderId="0" xfId="1" applyNumberFormat="1" applyFont="1" applyFill="1" applyBorder="1"/>
    <xf numFmtId="0" fontId="0" fillId="0" borderId="10" xfId="0" applyBorder="1"/>
    <xf numFmtId="0" fontId="0" fillId="0" borderId="11" xfId="0" applyBorder="1"/>
    <xf numFmtId="165" fontId="0" fillId="0" borderId="11" xfId="1" applyNumberFormat="1" applyFont="1" applyFill="1" applyBorder="1"/>
    <xf numFmtId="0" fontId="0" fillId="0" borderId="12" xfId="0" applyBorder="1"/>
    <xf numFmtId="0" fontId="0" fillId="0" borderId="13" xfId="0" applyBorder="1"/>
    <xf numFmtId="0" fontId="2" fillId="0" borderId="13" xfId="0" applyFont="1" applyBorder="1"/>
    <xf numFmtId="0" fontId="2" fillId="0" borderId="13" xfId="0" applyFont="1" applyBorder="1" applyAlignment="1">
      <alignment wrapText="1"/>
    </xf>
    <xf numFmtId="0" fontId="0" fillId="0" borderId="14" xfId="0" applyBorder="1"/>
    <xf numFmtId="0" fontId="0" fillId="0" borderId="15" xfId="0" applyBorder="1"/>
    <xf numFmtId="165" fontId="0" fillId="0" borderId="15" xfId="1" applyNumberFormat="1" applyFont="1" applyFill="1" applyBorder="1"/>
    <xf numFmtId="165" fontId="1" fillId="0" borderId="15" xfId="1" applyNumberFormat="1" applyFont="1" applyFill="1" applyBorder="1"/>
    <xf numFmtId="0" fontId="0" fillId="0" borderId="16" xfId="0" applyBorder="1"/>
    <xf numFmtId="165" fontId="2" fillId="0" borderId="0" xfId="1" applyNumberFormat="1" applyFont="1" applyBorder="1"/>
    <xf numFmtId="49" fontId="1" fillId="0" borderId="0" xfId="0" applyNumberFormat="1" applyFont="1"/>
    <xf numFmtId="0" fontId="2" fillId="12" borderId="0" xfId="0" applyFont="1" applyFill="1" applyAlignment="1">
      <alignment wrapText="1"/>
    </xf>
    <xf numFmtId="0" fontId="2" fillId="13" borderId="0" xfId="0" applyFont="1" applyFill="1" applyAlignment="1">
      <alignment wrapText="1"/>
    </xf>
    <xf numFmtId="1" fontId="5" fillId="0" borderId="0" xfId="0" applyNumberFormat="1" applyFont="1"/>
    <xf numFmtId="4" fontId="5" fillId="0" borderId="0" xfId="0" applyNumberFormat="1" applyFont="1"/>
    <xf numFmtId="2" fontId="5" fillId="0" borderId="0" xfId="0" applyNumberFormat="1" applyFont="1"/>
    <xf numFmtId="4" fontId="1" fillId="0" borderId="0" xfId="0" applyNumberFormat="1" applyFont="1" applyAlignment="1">
      <alignment wrapText="1"/>
    </xf>
    <xf numFmtId="1" fontId="1" fillId="0" borderId="0" xfId="0" applyNumberFormat="1" applyFont="1" applyAlignment="1">
      <alignment horizontal="right" wrapText="1"/>
    </xf>
    <xf numFmtId="2" fontId="1" fillId="0" borderId="0" xfId="0" applyNumberFormat="1" applyFont="1" applyAlignment="1">
      <alignment horizontal="right" wrapText="1"/>
    </xf>
    <xf numFmtId="1" fontId="1" fillId="0" borderId="10" xfId="0" applyNumberFormat="1" applyFont="1" applyBorder="1"/>
    <xf numFmtId="4" fontId="1" fillId="0" borderId="11" xfId="0" applyNumberFormat="1" applyFont="1" applyBorder="1"/>
    <xf numFmtId="1" fontId="1" fillId="0" borderId="11" xfId="0" applyNumberFormat="1" applyFont="1" applyBorder="1"/>
    <xf numFmtId="2" fontId="1" fillId="0" borderId="11" xfId="0" applyNumberFormat="1" applyFont="1" applyBorder="1"/>
    <xf numFmtId="1" fontId="1" fillId="0" borderId="12" xfId="0" applyNumberFormat="1" applyFont="1" applyBorder="1"/>
    <xf numFmtId="1" fontId="1" fillId="0" borderId="9" xfId="0" applyNumberFormat="1" applyFont="1" applyBorder="1"/>
    <xf numFmtId="1" fontId="1" fillId="0" borderId="13" xfId="0" applyNumberFormat="1" applyFont="1" applyBorder="1"/>
    <xf numFmtId="1" fontId="5" fillId="0" borderId="13" xfId="0" applyNumberFormat="1" applyFont="1" applyBorder="1"/>
    <xf numFmtId="1" fontId="5" fillId="0" borderId="9" xfId="0" applyNumberFormat="1" applyFont="1" applyBorder="1"/>
    <xf numFmtId="0" fontId="2" fillId="0" borderId="13" xfId="0" applyFont="1" applyBorder="1" applyAlignment="1">
      <alignment horizontal="right" wrapText="1"/>
    </xf>
    <xf numFmtId="1" fontId="1" fillId="0" borderId="13" xfId="0" applyNumberFormat="1" applyFont="1" applyBorder="1" applyAlignment="1">
      <alignment horizontal="right" wrapText="1"/>
    </xf>
    <xf numFmtId="1" fontId="1" fillId="0" borderId="9" xfId="0" applyNumberFormat="1" applyFont="1" applyBorder="1" applyAlignment="1">
      <alignment wrapText="1"/>
    </xf>
    <xf numFmtId="1" fontId="1" fillId="0" borderId="14" xfId="0" applyNumberFormat="1" applyFont="1" applyBorder="1" applyAlignment="1">
      <alignment wrapText="1"/>
    </xf>
    <xf numFmtId="4" fontId="1" fillId="0" borderId="15" xfId="0" applyNumberFormat="1" applyFont="1" applyBorder="1" applyAlignment="1">
      <alignment wrapText="1"/>
    </xf>
    <xf numFmtId="1" fontId="1" fillId="0" borderId="15" xfId="0" applyNumberFormat="1" applyFont="1" applyBorder="1" applyAlignment="1">
      <alignment horizontal="right" wrapText="1"/>
    </xf>
    <xf numFmtId="2" fontId="1" fillId="0" borderId="15" xfId="0" applyNumberFormat="1" applyFont="1" applyBorder="1" applyAlignment="1">
      <alignment horizontal="right" wrapText="1"/>
    </xf>
    <xf numFmtId="1" fontId="1" fillId="0" borderId="16" xfId="0" applyNumberFormat="1" applyFont="1" applyBorder="1" applyAlignment="1">
      <alignment horizontal="right" wrapText="1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7" xfId="0" pivotButton="1" applyBorder="1"/>
    <xf numFmtId="0" fontId="0" fillId="0" borderId="22" xfId="0" applyBorder="1"/>
    <xf numFmtId="0" fontId="0" fillId="0" borderId="17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/>
    <xf numFmtId="0" fontId="0" fillId="0" borderId="29" xfId="0" applyBorder="1"/>
    <xf numFmtId="2" fontId="2" fillId="0" borderId="0" xfId="0" applyNumberFormat="1" applyFont="1" applyAlignment="1">
      <alignment horizontal="right" wrapText="1"/>
    </xf>
    <xf numFmtId="166" fontId="1" fillId="0" borderId="11" xfId="1" applyNumberFormat="1" applyFont="1" applyFill="1" applyBorder="1"/>
    <xf numFmtId="166" fontId="1" fillId="0" borderId="0" xfId="1" applyNumberFormat="1" applyFont="1" applyFill="1" applyBorder="1"/>
    <xf numFmtId="166" fontId="5" fillId="0" borderId="0" xfId="1" applyNumberFormat="1" applyFont="1" applyFill="1" applyBorder="1"/>
    <xf numFmtId="166" fontId="2" fillId="0" borderId="0" xfId="0" applyNumberFormat="1" applyFont="1" applyAlignment="1">
      <alignment horizontal="right" wrapText="1"/>
    </xf>
    <xf numFmtId="166" fontId="1" fillId="0" borderId="0" xfId="1" applyNumberFormat="1" applyFont="1" applyFill="1" applyBorder="1" applyAlignment="1">
      <alignment horizontal="right" wrapText="1"/>
    </xf>
    <xf numFmtId="166" fontId="1" fillId="0" borderId="15" xfId="1" applyNumberFormat="1" applyFont="1" applyFill="1" applyBorder="1" applyAlignment="1">
      <alignment horizontal="right" wrapText="1"/>
    </xf>
    <xf numFmtId="0" fontId="0" fillId="0" borderId="21" xfId="0" applyBorder="1" applyAlignment="1">
      <alignment horizontal="left"/>
    </xf>
    <xf numFmtId="165" fontId="0" fillId="0" borderId="17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6" xfId="0" applyNumberFormat="1" applyBorder="1"/>
    <xf numFmtId="165" fontId="0" fillId="0" borderId="27" xfId="0" applyNumberFormat="1" applyBorder="1"/>
    <xf numFmtId="165" fontId="0" fillId="0" borderId="33" xfId="0" applyNumberFormat="1" applyBorder="1"/>
    <xf numFmtId="165" fontId="0" fillId="0" borderId="29" xfId="0" applyNumberFormat="1" applyBorder="1"/>
    <xf numFmtId="165" fontId="0" fillId="0" borderId="30" xfId="0" applyNumberFormat="1" applyBorder="1"/>
    <xf numFmtId="165" fontId="0" fillId="0" borderId="34" xfId="0" applyNumberFormat="1" applyBorder="1"/>
    <xf numFmtId="0" fontId="8" fillId="14" borderId="0" xfId="0" applyFont="1" applyFill="1"/>
    <xf numFmtId="0" fontId="0" fillId="14" borderId="0" xfId="0" applyFill="1"/>
    <xf numFmtId="0" fontId="7" fillId="11" borderId="3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0" borderId="22" xfId="0" applyNumberFormat="1" applyBorder="1"/>
    <xf numFmtId="0" fontId="0" fillId="0" borderId="23" xfId="0" applyNumberFormat="1" applyBorder="1"/>
    <xf numFmtId="0" fontId="0" fillId="0" borderId="24" xfId="0" applyNumberFormat="1" applyBorder="1"/>
    <xf numFmtId="0" fontId="0" fillId="0" borderId="17" xfId="0" applyNumberFormat="1" applyBorder="1"/>
    <xf numFmtId="0" fontId="0" fillId="0" borderId="26" xfId="0" applyNumberFormat="1" applyBorder="1"/>
    <xf numFmtId="0" fontId="0" fillId="0" borderId="20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0" borderId="28" xfId="0" applyNumberFormat="1" applyBorder="1"/>
    <xf numFmtId="0" fontId="0" fillId="0" borderId="29" xfId="0" applyNumberFormat="1" applyBorder="1"/>
    <xf numFmtId="0" fontId="0" fillId="0" borderId="30" xfId="0" applyNumberFormat="1" applyBorder="1"/>
    <xf numFmtId="0" fontId="0" fillId="0" borderId="31" xfId="0" applyNumberFormat="1" applyBorder="1"/>
    <xf numFmtId="0" fontId="0" fillId="0" borderId="32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32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75" fontId="0" fillId="0" borderId="22" xfId="0" applyNumberFormat="1" applyBorder="1"/>
    <xf numFmtId="175" fontId="0" fillId="0" borderId="23" xfId="0" applyNumberFormat="1" applyBorder="1"/>
    <xf numFmtId="175" fontId="0" fillId="0" borderId="32" xfId="0" applyNumberFormat="1" applyBorder="1"/>
  </cellXfs>
  <cellStyles count="2">
    <cellStyle name="Moneda" xfId="1" builtinId="4"/>
    <cellStyle name="Normal" xfId="0" builtinId="0"/>
  </cellStyles>
  <dxfs count="75">
    <dxf>
      <numFmt numFmtId="165" formatCode="_-* #,##0\ &quot;€&quot;_-;\-* #,##0\ &quot;€&quot;_-;_-* &quot;-&quot;??\ &quot;€&quot;_-;_-@_-"/>
    </dxf>
    <dxf>
      <numFmt numFmtId="175" formatCode="_-* #,##0.00\ [$€-C0A]_-;\-* #,##0.00\ [$€-C0A]_-;_-* &quot;-&quot;??\ [$€-C0A]_-;_-@_-"/>
    </dxf>
    <dxf>
      <numFmt numFmtId="165" formatCode="_-* #,##0\ &quot;€&quot;_-;\-* #,##0\ &quot;€&quot;_-;_-* &quot;-&quot;??\ &quot;€&quot;_-;_-@_-"/>
    </dxf>
    <dxf>
      <numFmt numFmtId="165" formatCode="_-* #,##0\ &quot;€&quot;_-;\-* #,##0\ &quot;€&quot;_-;_-* &quot;-&quot;??\ &quot;€&quot;_-;_-@_-"/>
    </dxf>
    <dxf>
      <numFmt numFmtId="175" formatCode="_-* #,##0.00\ [$€-C0A]_-;\-* #,##0.00\ [$€-C0A]_-;_-* &quot;-&quot;??\ [$€-C0A]_-;_-@_-"/>
    </dxf>
    <dxf>
      <numFmt numFmtId="165" formatCode="_-* #,##0\ &quot;€&quot;_-;\-* #,##0\ &quot;€&quot;_-;_-* &quot;-&quot;??\ &quot;€&quot;_-;_-@_-"/>
    </dxf>
    <dxf>
      <numFmt numFmtId="165" formatCode="_-* #,##0\ &quot;€&quot;_-;\-* #,##0\ &quot;€&quot;_-;_-* &quot;-&quot;??\ &quot;€&quot;_-;_-@_-"/>
    </dxf>
    <dxf>
      <numFmt numFmtId="175" formatCode="_-* #,##0.00\ [$€-C0A]_-;\-* #,##0.00\ [$€-C0A]_-;_-* &quot;-&quot;??\ [$€-C0A]_-;_-@_-"/>
    </dxf>
    <dxf>
      <numFmt numFmtId="165" formatCode="_-* #,##0\ &quot;€&quot;_-;\-* #,##0\ &quot;€&quot;_-;_-* &quot;-&quot;??\ &quot;€&quot;_-;_-@_-"/>
    </dxf>
    <dxf>
      <numFmt numFmtId="2" formatCode="0.00"/>
    </dxf>
    <dxf>
      <numFmt numFmtId="165" formatCode="_-* #,##0\ &quot;€&quot;_-;\-* #,##0\ &quot;€&quot;_-;_-* &quot;-&quot;??\ &quot;€&quot;_-;_-@_-"/>
    </dxf>
    <dxf>
      <numFmt numFmtId="175" formatCode="_-* #,##0.00\ [$€-C0A]_-;\-* #,##0.00\ [$€-C0A]_-;_-* &quot;-&quot;??\ [$€-C0A]_-;_-@_-"/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numFmt numFmtId="165" formatCode="_-* #,##0\ &quot;€&quot;_-;\-* #,##0\ &quot;€&quot;_-;_-* &quot;-&quot;??\ &quot;€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4" formatCode="#,##0.00"/>
      <fill>
        <patternFill patternType="solid">
          <fgColor indexed="64"/>
          <bgColor theme="9" tint="0.59999389629810485"/>
        </patternFill>
      </fill>
    </dxf>
    <dxf>
      <numFmt numFmtId="165" formatCode="_-* #,##0\ &quot;€&quot;_-;\-* #,##0\ &quot;€&quot;_-;_-* &quot;-&quot;??\ &quot;€&quot;_-;_-@_-"/>
    </dxf>
    <dxf>
      <numFmt numFmtId="2" formatCode="0.00"/>
    </dxf>
    <dxf>
      <font>
        <b/>
        <i val="0"/>
        <sz val="10"/>
        <name val="Posterama"/>
        <family val="2"/>
        <scheme val="none"/>
      </font>
    </dxf>
    <dxf>
      <font>
        <b val="0"/>
        <i val="0"/>
        <sz val="8"/>
        <name val="Posterama"/>
        <family val="2"/>
        <scheme val="none"/>
      </font>
      <fill>
        <patternFill patternType="solid">
          <fgColor rgb="FFFFE97D"/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6" formatCode="#,##0\ &quot;€&quot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left style="thin">
          <color rgb="FF666666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EA9999"/>
          <bgColor rgb="FFEA99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B6D7A8"/>
          <bgColor rgb="FFB6D7A8"/>
        </patternFill>
      </fill>
    </dxf>
    <dxf>
      <font>
        <b/>
      </font>
    </dxf>
    <dxf>
      <font>
        <b/>
      </font>
    </dxf>
    <dxf>
      <numFmt numFmtId="165" formatCode="_-* #,##0\ &quot;€&quot;_-;\-* #,##0\ &quot;€&quot;_-;_-* &quot;-&quot;??\ &quot;€&quot;_-;_-@_-"/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EA9999"/>
          <bgColor rgb="FFEA99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B6D7A8"/>
          <bgColor rgb="FFB6D7A8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8E7CC3"/>
          <bgColor rgb="FF8E7CC3"/>
        </patternFill>
      </fill>
    </dxf>
    <dxf>
      <fill>
        <patternFill patternType="solid">
          <fgColor rgb="FFE0F7FA"/>
          <bgColor rgb="FFE0F7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DD0E1"/>
          <bgColor rgb="FF4DD0E1"/>
        </patternFill>
      </fill>
    </dxf>
    <dxf>
      <fill>
        <patternFill patternType="solid">
          <fgColor rgb="FFE0F7FA"/>
          <bgColor rgb="FFE0F7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DD0E1"/>
          <bgColor rgb="FF4DD0E1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8E7CC3"/>
          <bgColor rgb="FF8E7CC3"/>
        </patternFill>
      </fill>
    </dxf>
  </dxfs>
  <tableStyles count="5">
    <tableStyle name="DATOS-style" pivot="0" count="3" xr9:uid="{00000000-0011-0000-FFFF-FFFF00000000}">
      <tableStyleElement type="headerRow" dxfId="74"/>
      <tableStyleElement type="firstRowStripe" dxfId="73"/>
      <tableStyleElement type="secondRowStripe" dxfId="72"/>
    </tableStyle>
    <tableStyle name="DATOS-style 2" pivot="0" count="3" xr9:uid="{00000000-0011-0000-FFFF-FFFF01000000}">
      <tableStyleElement type="headerRow" dxfId="71"/>
      <tableStyleElement type="firstRowStripe" dxfId="70"/>
      <tableStyleElement type="secondRowStripe" dxfId="69"/>
    </tableStyle>
    <tableStyle name="DATOS-style 3" pivot="0" count="3" xr9:uid="{00000000-0011-0000-FFFF-FFFF02000000}">
      <tableStyleElement type="headerRow" dxfId="68"/>
      <tableStyleElement type="firstRowStripe" dxfId="67"/>
      <tableStyleElement type="secondRowStripe" dxfId="66"/>
    </tableStyle>
    <tableStyle name="Estilo de segmentación de datos 1" pivot="0" table="0" count="6" xr9:uid="{089CA405-8FFE-4126-BE8A-405A197FE3AB}">
      <tableStyleElement type="wholeTable" dxfId="19"/>
      <tableStyleElement type="headerRow" dxfId="18"/>
    </tableStyle>
    <tableStyle name="STATS_JUGADORES-style" pivot="0" count="3" xr9:uid="{00000000-0011-0000-FFFF-FFFF03000000}">
      <tableStyleElement type="headerRow" dxfId="65"/>
      <tableStyleElement type="firstRowStripe" dxfId="64"/>
      <tableStyleElement type="secondRowStripe" dxfId="63"/>
    </tableStyle>
  </tableStyles>
  <colors>
    <mruColors>
      <color rgb="FF1B4094"/>
      <color rgb="FFFFE97D"/>
      <color rgb="FFFFD200"/>
      <color rgb="FFF5E3FD"/>
      <color rgb="FFE6B8FA"/>
      <color rgb="FFD60093"/>
      <color rgb="FF12C463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4" tint="0.39994506668294322"/>
            </patternFill>
          </fill>
        </dxf>
        <dxf>
          <font>
            <color theme="0"/>
          </font>
          <fill>
            <patternFill>
              <bgColor theme="4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0"/>
            <x14:slicerStyleElement type="selectedItemWithData" dxfId="1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9" Type="http://schemas.openxmlformats.org/officeDocument/2006/relationships/calcChain" Target="calcChain.xml"/><Relationship Id="rId11" Type="http://schemas.openxmlformats.org/officeDocument/2006/relationships/pivotCacheDefinition" Target="pivotCache/pivotCacheDefinition4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3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4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microsoft.com/office/2007/relationships/slicerCache" Target="slicerCaches/slicerCache2.xml"/><Relationship Id="rId41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defRPr>
            </a:pPr>
            <a:r>
              <a:rPr lang="en-US" sz="1200" b="1">
                <a:latin typeface="Posterama" panose="020B0504020200020000" pitchFamily="34" charset="0"/>
                <a:cs typeface="Posterama" panose="020B0504020200020000" pitchFamily="34" charset="0"/>
              </a:rPr>
              <a:t>Goals by season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GRÁFICOS!$E$4:$E$5</c:f>
              <c:strCache>
                <c:ptCount val="1"/>
                <c:pt idx="0">
                  <c:v>Cresposo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GRÁFICOS!$E$6:$E$10</c:f>
              <c:numCache>
                <c:formatCode>General</c:formatCode>
                <c:ptCount val="4"/>
                <c:pt idx="0">
                  <c:v>18</c:v>
                </c:pt>
                <c:pt idx="1">
                  <c:v>21</c:v>
                </c:pt>
                <c:pt idx="2">
                  <c:v>30</c:v>
                </c:pt>
                <c:pt idx="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00B-494D-85C1-882444E6532A}"/>
            </c:ext>
          </c:extLst>
        </c:ser>
        <c:ser>
          <c:idx val="1"/>
          <c:order val="1"/>
          <c:tx>
            <c:strRef>
              <c:f>GRÁFICOS!$F$4:$F$5</c:f>
              <c:strCache>
                <c:ptCount val="1"/>
                <c:pt idx="0">
                  <c:v>Dennis Man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GRÁFICOS!$F$6:$F$10</c:f>
              <c:numCache>
                <c:formatCode>General</c:formatCode>
                <c:ptCount val="4"/>
                <c:pt idx="0">
                  <c:v>14</c:v>
                </c:pt>
                <c:pt idx="1">
                  <c:v>15</c:v>
                </c:pt>
                <c:pt idx="2">
                  <c:v>19</c:v>
                </c:pt>
                <c:pt idx="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00B-494D-85C1-882444E6532A}"/>
            </c:ext>
          </c:extLst>
        </c:ser>
        <c:ser>
          <c:idx val="2"/>
          <c:order val="2"/>
          <c:tx>
            <c:strRef>
              <c:f>GRÁFICOS!$G$4:$G$5</c:f>
              <c:strCache>
                <c:ptCount val="1"/>
                <c:pt idx="0">
                  <c:v>Franco Fagúndez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GRÁFICOS!$G$6:$G$10</c:f>
              <c:numCache>
                <c:formatCode>General</c:formatCode>
                <c:ptCount val="4"/>
                <c:pt idx="0">
                  <c:v>11</c:v>
                </c:pt>
                <c:pt idx="1">
                  <c:v>15</c:v>
                </c:pt>
                <c:pt idx="2">
                  <c:v>17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00B-494D-85C1-882444E6532A}"/>
            </c:ext>
          </c:extLst>
        </c:ser>
        <c:ser>
          <c:idx val="3"/>
          <c:order val="3"/>
          <c:tx>
            <c:strRef>
              <c:f>GRÁFICOS!$H$4:$H$5</c:f>
              <c:strCache>
                <c:ptCount val="1"/>
                <c:pt idx="0">
                  <c:v>Szymon Zurkowski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GRÁFICOS!$H$6:$H$10</c:f>
              <c:numCache>
                <c:formatCode>General</c:formatCode>
                <c:ptCount val="4"/>
                <c:pt idx="0">
                  <c:v>9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00B-494D-85C1-882444E6532A}"/>
            </c:ext>
          </c:extLst>
        </c:ser>
        <c:ser>
          <c:idx val="4"/>
          <c:order val="4"/>
          <c:tx>
            <c:strRef>
              <c:f>GRÁFICOS!$I$4:$I$5</c:f>
              <c:strCache>
                <c:ptCount val="1"/>
                <c:pt idx="0">
                  <c:v>Adrián Bernabé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GRÁFICOS!$I$6:$I$10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00B-494D-85C1-882444E6532A}"/>
            </c:ext>
          </c:extLst>
        </c:ser>
        <c:ser>
          <c:idx val="5"/>
          <c:order val="5"/>
          <c:tx>
            <c:strRef>
              <c:f>GRÁFICOS!$J$4:$J$5</c:f>
              <c:strCache>
                <c:ptCount val="1"/>
                <c:pt idx="0">
                  <c:v>Fabio Miretti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GRÁFICOS!$J$6:$J$10</c:f>
              <c:numCache>
                <c:formatCode>General</c:formatCode>
                <c:ptCount val="4"/>
                <c:pt idx="2">
                  <c:v>6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00B-494D-85C1-882444E6532A}"/>
            </c:ext>
          </c:extLst>
        </c:ser>
        <c:ser>
          <c:idx val="6"/>
          <c:order val="6"/>
          <c:tx>
            <c:strRef>
              <c:f>GRÁFICOS!$K$4:$K$5</c:f>
              <c:strCache>
                <c:ptCount val="1"/>
                <c:pt idx="0">
                  <c:v>Adrián Serrano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GRÁFICOS!$K$6:$K$10</c:f>
              <c:numCache>
                <c:formatCode>General</c:formatCode>
                <c:ptCount val="4"/>
                <c:pt idx="1">
                  <c:v>1</c:v>
                </c:pt>
                <c:pt idx="2">
                  <c:v>12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00B-494D-85C1-882444E6532A}"/>
            </c:ext>
          </c:extLst>
        </c:ser>
        <c:ser>
          <c:idx val="7"/>
          <c:order val="7"/>
          <c:tx>
            <c:strRef>
              <c:f>GRÁFICOS!$L$4:$L$5</c:f>
              <c:strCache>
                <c:ptCount val="1"/>
                <c:pt idx="0">
                  <c:v>Khéphren Thuram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GRÁFICOS!$L$6:$L$10</c:f>
              <c:numCache>
                <c:formatCode>General</c:formatCode>
                <c:ptCount val="4"/>
                <c:pt idx="2">
                  <c:v>4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00B-494D-85C1-882444E6532A}"/>
            </c:ext>
          </c:extLst>
        </c:ser>
        <c:ser>
          <c:idx val="8"/>
          <c:order val="8"/>
          <c:tx>
            <c:strRef>
              <c:f>GRÁFICOS!$M$4:$M$5</c:f>
              <c:strCache>
                <c:ptCount val="1"/>
                <c:pt idx="0">
                  <c:v>Isac Nilsson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GRÁFICOS!$M$6:$M$10</c:f>
              <c:numCache>
                <c:formatCode>General</c:formatCode>
                <c:ptCount val="4"/>
                <c:pt idx="2">
                  <c:v>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00B-494D-85C1-882444E6532A}"/>
            </c:ext>
          </c:extLst>
        </c:ser>
        <c:ser>
          <c:idx val="9"/>
          <c:order val="9"/>
          <c:tx>
            <c:strRef>
              <c:f>GRÁFICOS!$N$4:$N$5</c:f>
              <c:strCache>
                <c:ptCount val="1"/>
                <c:pt idx="0">
                  <c:v>Wilfried Gnonto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GRÁFICOS!$D$6:$D$10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GRÁFICOS!$N$6:$N$10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00B-494D-85C1-882444E65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08015"/>
        <c:axId val="1001908975"/>
      </c:lineChart>
      <c:catAx>
        <c:axId val="100190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01908975"/>
        <c:crosses val="autoZero"/>
        <c:auto val="1"/>
        <c:lblAlgn val="ctr"/>
        <c:lblOffset val="100"/>
        <c:noMultiLvlLbl val="0"/>
      </c:catAx>
      <c:valAx>
        <c:axId val="100190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019080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19050" cap="flat" cmpd="sng" algn="ctr">
            <a:solidFill>
              <a:schemeClr val="accent1">
                <a:lumMod val="20000"/>
                <a:lumOff val="8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127000" sx="103000" sy="103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[CareerMode_Sheets.xlsm]GRÁFICOS!TablaDinámica4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1B4094"/>
            </a:solidFill>
            <a:round/>
          </a:ln>
          <a:effectLst/>
        </c:spPr>
        <c:marker>
          <c:symbol val="circle"/>
          <c:size val="5"/>
          <c:spPr>
            <a:solidFill>
              <a:srgbClr val="1B4094"/>
            </a:solidFill>
            <a:ln w="9525">
              <a:solidFill>
                <a:srgbClr val="1B409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818152174819265E-2"/>
          <c:y val="4.4050160396617091E-2"/>
          <c:w val="0.90729655930108366"/>
          <c:h val="0.57294884806065904"/>
        </c:manualLayout>
      </c:layout>
      <c:lineChart>
        <c:grouping val="standard"/>
        <c:varyColors val="0"/>
        <c:ser>
          <c:idx val="0"/>
          <c:order val="0"/>
          <c:tx>
            <c:strRef>
              <c:f>GRÁFICOS!$B$4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1B409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1B4094"/>
              </a:solidFill>
              <a:ln w="9525">
                <a:solidFill>
                  <a:srgbClr val="1B409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GRÁFICOS!$A$5:$A$14</c:f>
              <c:strCache>
                <c:ptCount val="10"/>
                <c:pt idx="0">
                  <c:v>Cresposo</c:v>
                </c:pt>
                <c:pt idx="1">
                  <c:v>Cannavaro</c:v>
                </c:pt>
                <c:pt idx="2">
                  <c:v>Buffon</c:v>
                </c:pt>
                <c:pt idx="3">
                  <c:v>Giorgio Scalvini</c:v>
                </c:pt>
                <c:pt idx="4">
                  <c:v>Franco Fagúndez</c:v>
                </c:pt>
                <c:pt idx="5">
                  <c:v>Adrián Bernabé</c:v>
                </c:pt>
                <c:pt idx="6">
                  <c:v>Dennis Man</c:v>
                </c:pt>
                <c:pt idx="7">
                  <c:v>Ibrahima Bamba</c:v>
                </c:pt>
                <c:pt idx="8">
                  <c:v>Brandon Soppy</c:v>
                </c:pt>
                <c:pt idx="9">
                  <c:v>Adrián Serrano</c:v>
                </c:pt>
              </c:strCache>
            </c:strRef>
          </c:cat>
          <c:val>
            <c:numRef>
              <c:f>GRÁFICOS!$B$5:$B$14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18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13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29-4AE9-832D-5936FC0C0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201423"/>
        <c:axId val="219201903"/>
      </c:lineChart>
      <c:catAx>
        <c:axId val="21920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9201903"/>
        <c:crosses val="autoZero"/>
        <c:auto val="1"/>
        <c:lblAlgn val="ctr"/>
        <c:lblOffset val="100"/>
        <c:noMultiLvlLbl val="0"/>
      </c:catAx>
      <c:valAx>
        <c:axId val="219201903"/>
        <c:scaling>
          <c:orientation val="minMax"/>
          <c:min val="10"/>
        </c:scaling>
        <c:delete val="1"/>
        <c:axPos val="l"/>
        <c:numFmt formatCode="General" sourceLinked="1"/>
        <c:majorTickMark val="none"/>
        <c:minorTickMark val="none"/>
        <c:tickLblPos val="nextTo"/>
        <c:crossAx val="21920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2">
          <a:lumMod val="50000"/>
          <a:lumOff val="50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2">
                    <a:lumMod val="75000"/>
                    <a:lumOff val="2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defRPr>
            </a:pPr>
            <a:r>
              <a:rPr lang="en-US" sz="1200" b="1">
                <a:solidFill>
                  <a:schemeClr val="tx2">
                    <a:lumMod val="75000"/>
                    <a:lumOff val="25000"/>
                  </a:schemeClr>
                </a:solidFill>
                <a:latin typeface="Posterama" panose="020B0504020200020000" pitchFamily="34" charset="0"/>
                <a:cs typeface="Posterama" panose="020B0504020200020000" pitchFamily="34" charset="0"/>
              </a:rPr>
              <a:t>Games played with club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2">
                  <a:lumMod val="75000"/>
                  <a:lumOff val="25000"/>
                </a:schemeClr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D2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GRÁFICOS!$B$43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D2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GRÁFICOS!$A$44:$A$53</c:f>
              <c:strCache>
                <c:ptCount val="10"/>
                <c:pt idx="0">
                  <c:v>Valentin Gomez</c:v>
                </c:pt>
                <c:pt idx="1">
                  <c:v>Franco Fagúndez</c:v>
                </c:pt>
                <c:pt idx="2">
                  <c:v>Adrián Bernabé</c:v>
                </c:pt>
                <c:pt idx="3">
                  <c:v>Szymon Zurkowski</c:v>
                </c:pt>
                <c:pt idx="4">
                  <c:v>Brandon Soppy</c:v>
                </c:pt>
                <c:pt idx="5">
                  <c:v>Dennis Man</c:v>
                </c:pt>
                <c:pt idx="6">
                  <c:v>Giorgio Scalvini</c:v>
                </c:pt>
                <c:pt idx="7">
                  <c:v>Cannavaro</c:v>
                </c:pt>
                <c:pt idx="8">
                  <c:v>Cresposo</c:v>
                </c:pt>
                <c:pt idx="9">
                  <c:v>Buffon</c:v>
                </c:pt>
              </c:strCache>
            </c:strRef>
          </c:cat>
          <c:val>
            <c:numRef>
              <c:f>GRÁFICOS!$B$44:$B$53</c:f>
              <c:numCache>
                <c:formatCode>General</c:formatCode>
                <c:ptCount val="10"/>
                <c:pt idx="0">
                  <c:v>114</c:v>
                </c:pt>
                <c:pt idx="1">
                  <c:v>122</c:v>
                </c:pt>
                <c:pt idx="2">
                  <c:v>129</c:v>
                </c:pt>
                <c:pt idx="3">
                  <c:v>137</c:v>
                </c:pt>
                <c:pt idx="4">
                  <c:v>138</c:v>
                </c:pt>
                <c:pt idx="5">
                  <c:v>149</c:v>
                </c:pt>
                <c:pt idx="6">
                  <c:v>153</c:v>
                </c:pt>
                <c:pt idx="7">
                  <c:v>164</c:v>
                </c:pt>
                <c:pt idx="8">
                  <c:v>169</c:v>
                </c:pt>
                <c:pt idx="9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2-443E-907B-2A4FD77CC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861251711"/>
        <c:axId val="861246431"/>
      </c:barChart>
      <c:catAx>
        <c:axId val="861251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1246431"/>
        <c:crosses val="autoZero"/>
        <c:auto val="1"/>
        <c:lblAlgn val="ctr"/>
        <c:lblOffset val="100"/>
        <c:noMultiLvlLbl val="0"/>
      </c:catAx>
      <c:valAx>
        <c:axId val="8612464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125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127000" sx="103000" sy="103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defRPr>
            </a:pPr>
            <a:r>
              <a:rPr lang="en-US" sz="1200" b="1">
                <a:latin typeface="Posterama" panose="020B0504020200020000" pitchFamily="34" charset="0"/>
                <a:cs typeface="Posterama" panose="020B0504020200020000" pitchFamily="34" charset="0"/>
              </a:rPr>
              <a:t>Total Goals &amp; Assists by player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GRÁFICOS!$H$40</c:f>
              <c:strCache>
                <c:ptCount val="1"/>
                <c:pt idx="0">
                  <c:v>Suma de Goles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GRÁFICOS!$G$41:$G$53</c:f>
              <c:strCache>
                <c:ptCount val="12"/>
                <c:pt idx="0">
                  <c:v>Adrián Bernabé</c:v>
                </c:pt>
                <c:pt idx="1">
                  <c:v>Adrián Serrano</c:v>
                </c:pt>
                <c:pt idx="2">
                  <c:v>Brandon Soppy</c:v>
                </c:pt>
                <c:pt idx="3">
                  <c:v>Christopher Nkunku</c:v>
                </c:pt>
                <c:pt idx="4">
                  <c:v>Cresposo</c:v>
                </c:pt>
                <c:pt idx="5">
                  <c:v>Dennis Man</c:v>
                </c:pt>
                <c:pt idx="6">
                  <c:v>Fabio Miretti</c:v>
                </c:pt>
                <c:pt idx="7">
                  <c:v>Franco Fagúndez</c:v>
                </c:pt>
                <c:pt idx="8">
                  <c:v>Isac Nilsson</c:v>
                </c:pt>
                <c:pt idx="9">
                  <c:v>Khéphren Thuram</c:v>
                </c:pt>
                <c:pt idx="10">
                  <c:v>Szymon Zurkowski</c:v>
                </c:pt>
                <c:pt idx="11">
                  <c:v>Wilfried Gnonto</c:v>
                </c:pt>
              </c:strCache>
            </c:strRef>
          </c:cat>
          <c:val>
            <c:numRef>
              <c:f>GRÁFICOS!$H$41:$H$53</c:f>
              <c:numCache>
                <c:formatCode>General</c:formatCode>
                <c:ptCount val="12"/>
                <c:pt idx="0">
                  <c:v>16</c:v>
                </c:pt>
                <c:pt idx="1">
                  <c:v>13</c:v>
                </c:pt>
                <c:pt idx="2">
                  <c:v>7</c:v>
                </c:pt>
                <c:pt idx="3">
                  <c:v>7</c:v>
                </c:pt>
                <c:pt idx="4">
                  <c:v>98</c:v>
                </c:pt>
                <c:pt idx="5">
                  <c:v>59</c:v>
                </c:pt>
                <c:pt idx="6">
                  <c:v>15</c:v>
                </c:pt>
                <c:pt idx="7">
                  <c:v>58</c:v>
                </c:pt>
                <c:pt idx="8">
                  <c:v>12</c:v>
                </c:pt>
                <c:pt idx="9">
                  <c:v>13</c:v>
                </c:pt>
                <c:pt idx="10">
                  <c:v>32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6C-478F-8D2D-3EF0639E73D4}"/>
            </c:ext>
          </c:extLst>
        </c:ser>
        <c:ser>
          <c:idx val="1"/>
          <c:order val="1"/>
          <c:tx>
            <c:strRef>
              <c:f>GRÁFICOS!$I$40</c:f>
              <c:strCache>
                <c:ptCount val="1"/>
                <c:pt idx="0">
                  <c:v>Suma de Asistencias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GRÁFICOS!$G$41:$G$53</c:f>
              <c:strCache>
                <c:ptCount val="12"/>
                <c:pt idx="0">
                  <c:v>Adrián Bernabé</c:v>
                </c:pt>
                <c:pt idx="1">
                  <c:v>Adrián Serrano</c:v>
                </c:pt>
                <c:pt idx="2">
                  <c:v>Brandon Soppy</c:v>
                </c:pt>
                <c:pt idx="3">
                  <c:v>Christopher Nkunku</c:v>
                </c:pt>
                <c:pt idx="4">
                  <c:v>Cresposo</c:v>
                </c:pt>
                <c:pt idx="5">
                  <c:v>Dennis Man</c:v>
                </c:pt>
                <c:pt idx="6">
                  <c:v>Fabio Miretti</c:v>
                </c:pt>
                <c:pt idx="7">
                  <c:v>Franco Fagúndez</c:v>
                </c:pt>
                <c:pt idx="8">
                  <c:v>Isac Nilsson</c:v>
                </c:pt>
                <c:pt idx="9">
                  <c:v>Khéphren Thuram</c:v>
                </c:pt>
                <c:pt idx="10">
                  <c:v>Szymon Zurkowski</c:v>
                </c:pt>
                <c:pt idx="11">
                  <c:v>Wilfried Gnonto</c:v>
                </c:pt>
              </c:strCache>
            </c:strRef>
          </c:cat>
          <c:val>
            <c:numRef>
              <c:f>GRÁFICOS!$I$41:$I$53</c:f>
              <c:numCache>
                <c:formatCode>General</c:formatCode>
                <c:ptCount val="12"/>
                <c:pt idx="0">
                  <c:v>31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31</c:v>
                </c:pt>
                <c:pt idx="5">
                  <c:v>43</c:v>
                </c:pt>
                <c:pt idx="6">
                  <c:v>10</c:v>
                </c:pt>
                <c:pt idx="7">
                  <c:v>20</c:v>
                </c:pt>
                <c:pt idx="8">
                  <c:v>6</c:v>
                </c:pt>
                <c:pt idx="9">
                  <c:v>13</c:v>
                </c:pt>
                <c:pt idx="10">
                  <c:v>25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6C-478F-8D2D-3EF0639E7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034591"/>
        <c:axId val="853032191"/>
      </c:lineChart>
      <c:catAx>
        <c:axId val="85303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3032191"/>
        <c:crosses val="autoZero"/>
        <c:auto val="1"/>
        <c:lblAlgn val="ctr"/>
        <c:lblOffset val="100"/>
        <c:noMultiLvlLbl val="0"/>
      </c:catAx>
      <c:valAx>
        <c:axId val="85303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303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127000" sx="103000" sy="103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GRÁFICOS!$O$45</c:f>
              <c:strCache>
                <c:ptCount val="1"/>
                <c:pt idx="0">
                  <c:v>Yellow Cards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GRÁFICOS!$N$46:$N$50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GRÁFICOS!$O$46:$O$50</c:f>
              <c:numCache>
                <c:formatCode>General</c:formatCode>
                <c:ptCount val="4"/>
                <c:pt idx="0">
                  <c:v>26</c:v>
                </c:pt>
                <c:pt idx="1">
                  <c:v>15</c:v>
                </c:pt>
                <c:pt idx="2">
                  <c:v>34</c:v>
                </c:pt>
                <c:pt idx="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4-4DF6-834E-5C4B72131BB6}"/>
            </c:ext>
          </c:extLst>
        </c:ser>
        <c:ser>
          <c:idx val="1"/>
          <c:order val="1"/>
          <c:tx>
            <c:strRef>
              <c:f>GRÁFICOS!$P$45</c:f>
              <c:strCache>
                <c:ptCount val="1"/>
                <c:pt idx="0">
                  <c:v>Red cards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GRÁFICOS!$N$46:$N$50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GRÁFICOS!$P$46:$P$50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4-4DF6-834E-5C4B7213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1890897328"/>
        <c:axId val="1890897808"/>
      </c:barChart>
      <c:catAx>
        <c:axId val="189089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897808"/>
        <c:crosses val="autoZero"/>
        <c:auto val="1"/>
        <c:lblAlgn val="ctr"/>
        <c:lblOffset val="100"/>
        <c:noMultiLvlLbl val="0"/>
      </c:catAx>
      <c:valAx>
        <c:axId val="1890897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9089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409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D2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GRÁFICOS!$N$58</c:f>
              <c:strCache>
                <c:ptCount val="1"/>
                <c:pt idx="0">
                  <c:v>Goals</c:v>
                </c:pt>
              </c:strCache>
            </c:strRef>
          </c:tx>
          <c:spPr>
            <a:solidFill>
              <a:srgbClr val="1B40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GRÁFICOS!$M$59:$M$63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GRÁFICOS!$N$59:$N$63</c:f>
              <c:numCache>
                <c:formatCode>General</c:formatCode>
                <c:ptCount val="4"/>
                <c:pt idx="0">
                  <c:v>80</c:v>
                </c:pt>
                <c:pt idx="1">
                  <c:v>84</c:v>
                </c:pt>
                <c:pt idx="2">
                  <c:v>117</c:v>
                </c:pt>
                <c:pt idx="3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2-4E7F-9256-565901DB3458}"/>
            </c:ext>
          </c:extLst>
        </c:ser>
        <c:ser>
          <c:idx val="1"/>
          <c:order val="1"/>
          <c:tx>
            <c:strRef>
              <c:f>GRÁFICOS!$O$58</c:f>
              <c:strCache>
                <c:ptCount val="1"/>
                <c:pt idx="0">
                  <c:v>Assists</c:v>
                </c:pt>
              </c:strCache>
            </c:strRef>
          </c:tx>
          <c:spPr>
            <a:solidFill>
              <a:srgbClr val="FFD2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GRÁFICOS!$M$59:$M$63</c:f>
              <c:strCache>
                <c:ptCount val="4"/>
                <c:pt idx="0">
                  <c:v>22/23</c:v>
                </c:pt>
                <c:pt idx="1">
                  <c:v>23/24</c:v>
                </c:pt>
                <c:pt idx="2">
                  <c:v>24/25</c:v>
                </c:pt>
                <c:pt idx="3">
                  <c:v>25/26</c:v>
                </c:pt>
              </c:strCache>
            </c:strRef>
          </c:cat>
          <c:val>
            <c:numRef>
              <c:f>GRÁFICOS!$O$59:$O$63</c:f>
              <c:numCache>
                <c:formatCode>General</c:formatCode>
                <c:ptCount val="4"/>
                <c:pt idx="0">
                  <c:v>54</c:v>
                </c:pt>
                <c:pt idx="1">
                  <c:v>63</c:v>
                </c:pt>
                <c:pt idx="2">
                  <c:v>102</c:v>
                </c:pt>
                <c:pt idx="3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82-4E7F-9256-565901DB3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583296016"/>
        <c:axId val="583294096"/>
      </c:barChart>
      <c:catAx>
        <c:axId val="5832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3294096"/>
        <c:crosses val="autoZero"/>
        <c:auto val="1"/>
        <c:lblAlgn val="ctr"/>
        <c:lblOffset val="100"/>
        <c:noMultiLvlLbl val="0"/>
      </c:catAx>
      <c:valAx>
        <c:axId val="583294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32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[CareerMode_Sheets.xlsm]GRÁFICOS!TablaDinámica10</c:name>
    <c:fmtId val="5"/>
  </c:pivotSource>
  <c:chart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4A853">
              <a:alpha val="61176"/>
            </a:srgbClr>
          </a:soli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4A853">
              <a:alpha val="61176"/>
            </a:srgbClr>
          </a:soli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34A853">
              <a:alpha val="61176"/>
            </a:srgb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6.8098245614035088E-2"/>
              <c:y val="-2.32249307877611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3.44140350877193E-2"/>
              <c:y val="-2.77911408334232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8.9498328498411384E-2"/>
              <c:y val="-2.09418257649302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4.2421328912833267E-3"/>
              <c:y val="-3.2357350879085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>
            <c:manualLayout>
              <c:x val="-9.9680729382511393E-2"/>
              <c:y val="1.889224463380475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655433070866141"/>
          <c:y val="2.5114155251141551E-2"/>
          <c:w val="0.76901052631578948"/>
          <c:h val="0.75291698126775253"/>
        </c:manualLayout>
      </c:layout>
      <c:areaChart>
        <c:grouping val="stacked"/>
        <c:varyColors val="0"/>
        <c:ser>
          <c:idx val="0"/>
          <c:order val="0"/>
          <c:tx>
            <c:strRef>
              <c:f>GRÁFICOS!$H$59</c:f>
              <c:strCache>
                <c:ptCount val="1"/>
                <c:pt idx="0">
                  <c:v>Valor de mercado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GRÁFICOS!$G$60:$G$71</c:f>
              <c:strCache>
                <c:ptCount val="12"/>
                <c:pt idx="0">
                  <c:v>Bryan Cristante</c:v>
                </c:pt>
                <c:pt idx="1">
                  <c:v>Christopher Nkunku</c:v>
                </c:pt>
                <c:pt idx="2">
                  <c:v>Cristian Romero</c:v>
                </c:pt>
                <c:pt idx="3">
                  <c:v>Destiny Udogie</c:v>
                </c:pt>
                <c:pt idx="4">
                  <c:v>Fabio Miretti</c:v>
                </c:pt>
                <c:pt idx="5">
                  <c:v>Khéphren Thuram</c:v>
                </c:pt>
                <c:pt idx="6">
                  <c:v>Leandro Paredes</c:v>
                </c:pt>
                <c:pt idx="7">
                  <c:v>Lorenzo Pellegrini</c:v>
                </c:pt>
                <c:pt idx="8">
                  <c:v>Milos Kerkez</c:v>
                </c:pt>
                <c:pt idx="9">
                  <c:v>Wilfried Gnonto</c:v>
                </c:pt>
                <c:pt idx="10">
                  <c:v>Wilfried Singo</c:v>
                </c:pt>
                <c:pt idx="11">
                  <c:v>Xavi Simons</c:v>
                </c:pt>
              </c:strCache>
            </c:strRef>
          </c:cat>
          <c:val>
            <c:numRef>
              <c:f>GRÁFICOS!$H$60:$H$71</c:f>
              <c:numCache>
                <c:formatCode>_-* #,##0\ "€"_-;\-* #,##0\ "€"_-;_-* "-"??\ "€"_-;_-@_-</c:formatCode>
                <c:ptCount val="12"/>
                <c:pt idx="0">
                  <c:v>25500000</c:v>
                </c:pt>
                <c:pt idx="1">
                  <c:v>105000000</c:v>
                </c:pt>
                <c:pt idx="2">
                  <c:v>84000000</c:v>
                </c:pt>
                <c:pt idx="3">
                  <c:v>55000000</c:v>
                </c:pt>
                <c:pt idx="4">
                  <c:v>52000000</c:v>
                </c:pt>
                <c:pt idx="5">
                  <c:v>41500000</c:v>
                </c:pt>
                <c:pt idx="6">
                  <c:v>20000000</c:v>
                </c:pt>
                <c:pt idx="7">
                  <c:v>74000000</c:v>
                </c:pt>
                <c:pt idx="8">
                  <c:v>28500000</c:v>
                </c:pt>
                <c:pt idx="9">
                  <c:v>31000000</c:v>
                </c:pt>
                <c:pt idx="10">
                  <c:v>43500000</c:v>
                </c:pt>
                <c:pt idx="11">
                  <c:v>61500000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55-4940-867A-76859F6CF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100975"/>
        <c:axId val="995101455"/>
      </c:area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5100975"/>
        <c:axId val="995101455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100975"/>
        <c:axId val="995101455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100975"/>
        <c:axId val="995101455"/>
      </c:barChart>
      <c:barChart>
        <c:barDir val="col"/>
        <c:grouping val="clustered"/>
        <c:varyColors val="0"/>
        <c:ser>
          <c:idx val="1"/>
          <c:order val="1"/>
          <c:tx>
            <c:strRef>
              <c:f>GRÁFICOS!$I$59</c:f>
              <c:strCache>
                <c:ptCount val="1"/>
                <c:pt idx="0">
                  <c:v>Suma de Precio fichaje</c:v>
                </c:pt>
              </c:strCache>
            </c:strRef>
          </c:tx>
          <c:spPr>
            <a:solidFill>
              <a:srgbClr val="34A853">
                <a:alpha val="61176"/>
              </a:srgbClr>
            </a:solidFill>
            <a:ln w="25400">
              <a:noFill/>
            </a:ln>
            <a:effectLst/>
          </c:spPr>
          <c:invertIfNegative val="0"/>
          <c:cat>
            <c:strRef>
              <c:f>GRÁFICOS!$G$60:$G$71</c:f>
              <c:strCache>
                <c:ptCount val="12"/>
                <c:pt idx="0">
                  <c:v>Bryan Cristante</c:v>
                </c:pt>
                <c:pt idx="1">
                  <c:v>Christopher Nkunku</c:v>
                </c:pt>
                <c:pt idx="2">
                  <c:v>Cristian Romero</c:v>
                </c:pt>
                <c:pt idx="3">
                  <c:v>Destiny Udogie</c:v>
                </c:pt>
                <c:pt idx="4">
                  <c:v>Fabio Miretti</c:v>
                </c:pt>
                <c:pt idx="5">
                  <c:v>Khéphren Thuram</c:v>
                </c:pt>
                <c:pt idx="6">
                  <c:v>Leandro Paredes</c:v>
                </c:pt>
                <c:pt idx="7">
                  <c:v>Lorenzo Pellegrini</c:v>
                </c:pt>
                <c:pt idx="8">
                  <c:v>Milos Kerkez</c:v>
                </c:pt>
                <c:pt idx="9">
                  <c:v>Wilfried Gnonto</c:v>
                </c:pt>
                <c:pt idx="10">
                  <c:v>Wilfried Singo</c:v>
                </c:pt>
                <c:pt idx="11">
                  <c:v>Xavi Simons</c:v>
                </c:pt>
              </c:strCache>
            </c:strRef>
          </c:cat>
          <c:val>
            <c:numRef>
              <c:f>GRÁFICOS!$I$60:$I$71</c:f>
              <c:numCache>
                <c:formatCode>_-* #,##0\ "€"_-;\-* #,##0\ "€"_-;_-* "-"??\ "€"_-;_-@_-</c:formatCode>
                <c:ptCount val="12"/>
                <c:pt idx="0">
                  <c:v>0</c:v>
                </c:pt>
                <c:pt idx="1">
                  <c:v>88400000</c:v>
                </c:pt>
                <c:pt idx="2">
                  <c:v>70000000</c:v>
                </c:pt>
                <c:pt idx="3">
                  <c:v>62000000</c:v>
                </c:pt>
                <c:pt idx="4">
                  <c:v>58300000</c:v>
                </c:pt>
                <c:pt idx="5">
                  <c:v>40000000</c:v>
                </c:pt>
                <c:pt idx="6">
                  <c:v>0</c:v>
                </c:pt>
                <c:pt idx="7">
                  <c:v>66000000</c:v>
                </c:pt>
                <c:pt idx="8">
                  <c:v>36000000</c:v>
                </c:pt>
                <c:pt idx="9">
                  <c:v>25400000</c:v>
                </c:pt>
                <c:pt idx="10">
                  <c:v>37400000</c:v>
                </c:pt>
                <c:pt idx="11">
                  <c:v>69000000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B55-4940-867A-76859F6CF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100975"/>
        <c:axId val="995101455"/>
      </c:barChart>
      <c:lineChart>
        <c:grouping val="standard"/>
        <c:varyColors val="0"/>
        <c:ser>
          <c:idx val="2"/>
          <c:order val="2"/>
          <c:tx>
            <c:strRef>
              <c:f>GRÁFICOS!$J$59</c:f>
              <c:strCache>
                <c:ptCount val="1"/>
                <c:pt idx="0">
                  <c:v>Balance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9.9680729382511393E-2"/>
                  <c:y val="1.88922446338047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2421328912833267E-3"/>
                  <c:y val="-3.2357350879085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8.9498328498411384E-2"/>
                  <c:y val="-2.09418257649302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6.8098245614035088E-2"/>
                  <c:y val="-2.32249307877611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3.44140350877193E-2"/>
                  <c:y val="-2.7791140833423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GRÁFICOS!$G$60:$G$71</c:f>
              <c:strCache>
                <c:ptCount val="12"/>
                <c:pt idx="0">
                  <c:v>Bryan Cristante</c:v>
                </c:pt>
                <c:pt idx="1">
                  <c:v>Christopher Nkunku</c:v>
                </c:pt>
                <c:pt idx="2">
                  <c:v>Cristian Romero</c:v>
                </c:pt>
                <c:pt idx="3">
                  <c:v>Destiny Udogie</c:v>
                </c:pt>
                <c:pt idx="4">
                  <c:v>Fabio Miretti</c:v>
                </c:pt>
                <c:pt idx="5">
                  <c:v>Khéphren Thuram</c:v>
                </c:pt>
                <c:pt idx="6">
                  <c:v>Leandro Paredes</c:v>
                </c:pt>
                <c:pt idx="7">
                  <c:v>Lorenzo Pellegrini</c:v>
                </c:pt>
                <c:pt idx="8">
                  <c:v>Milos Kerkez</c:v>
                </c:pt>
                <c:pt idx="9">
                  <c:v>Wilfried Gnonto</c:v>
                </c:pt>
                <c:pt idx="10">
                  <c:v>Wilfried Singo</c:v>
                </c:pt>
                <c:pt idx="11">
                  <c:v>Xavi Simons</c:v>
                </c:pt>
              </c:strCache>
            </c:strRef>
          </c:cat>
          <c:val>
            <c:numRef>
              <c:f>GRÁFICOS!$J$60:$J$71</c:f>
              <c:numCache>
                <c:formatCode>_-* #,##0\ "€"_-;\-* #,##0\ "€"_-;_-* "-"??\ "€"_-;_-@_-</c:formatCode>
                <c:ptCount val="12"/>
                <c:pt idx="0">
                  <c:v>25500000</c:v>
                </c:pt>
                <c:pt idx="1">
                  <c:v>16600000</c:v>
                </c:pt>
                <c:pt idx="2">
                  <c:v>14000000</c:v>
                </c:pt>
                <c:pt idx="3">
                  <c:v>-7000000</c:v>
                </c:pt>
                <c:pt idx="4">
                  <c:v>-6300000</c:v>
                </c:pt>
                <c:pt idx="5">
                  <c:v>1500000</c:v>
                </c:pt>
                <c:pt idx="6">
                  <c:v>20000000</c:v>
                </c:pt>
                <c:pt idx="7">
                  <c:v>8000000</c:v>
                </c:pt>
                <c:pt idx="8">
                  <c:v>-7500000</c:v>
                </c:pt>
                <c:pt idx="9">
                  <c:v>5600000</c:v>
                </c:pt>
                <c:pt idx="10">
                  <c:v>6100000</c:v>
                </c:pt>
                <c:pt idx="11">
                  <c:v>-7500000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B55-4940-867A-76859F6CF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120080"/>
        <c:axId val="1927118160"/>
      </c:lineChart>
      <c:catAx>
        <c:axId val="995100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95101455"/>
        <c:crosses val="autoZero"/>
        <c:auto val="1"/>
        <c:lblAlgn val="ctr"/>
        <c:lblOffset val="100"/>
        <c:noMultiLvlLbl val="0"/>
      </c:catAx>
      <c:valAx>
        <c:axId val="99510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50000"/>
                  <a:lumOff val="50000"/>
                  <a:alpha val="49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Precio</a:t>
                </a:r>
                <a:r>
                  <a:rPr lang="es-ES" b="1" baseline="0"/>
                  <a:t> &amp; Valor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_-* #,##0\ &quot;€&quot;_-;\-* #,##0\ &quot;€&quot;_-;_-* &quot;-&quot;??\ &quot;€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95100975"/>
        <c:crosses val="autoZero"/>
        <c:crossBetween val="between"/>
      </c:valAx>
      <c:valAx>
        <c:axId val="1927118160"/>
        <c:scaling>
          <c:orientation val="minMax"/>
        </c:scaling>
        <c:delete val="0"/>
        <c:axPos val="r"/>
        <c:numFmt formatCode="_-* #,##0\ &quot;€&quot;_-;\-* #,##0\ &quot;€&quot;_-;_-* &quot;-&quot;??\ &quot;€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7120080"/>
        <c:crosses val="max"/>
        <c:crossBetween val="between"/>
      </c:valAx>
      <c:catAx>
        <c:axId val="1927120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71181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127000" sx="103000" sy="103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[CareerMode_Sheets.xlsm]GRÁFICOS!TablaDinámica6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GRÁFICOS!$B$18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GRÁFICOS!$A$19:$A$23</c:f>
              <c:strCache>
                <c:ptCount val="4"/>
                <c:pt idx="0">
                  <c:v>Clave</c:v>
                </c:pt>
                <c:pt idx="1">
                  <c:v>Importante</c:v>
                </c:pt>
                <c:pt idx="2">
                  <c:v>Ocasional</c:v>
                </c:pt>
                <c:pt idx="3">
                  <c:v>Rotación</c:v>
                </c:pt>
              </c:strCache>
            </c:strRef>
          </c:cat>
          <c:val>
            <c:numRef>
              <c:f>GRÁFICOS!$B$19:$B$23</c:f>
              <c:numCache>
                <c:formatCode>General</c:formatCode>
                <c:ptCount val="4"/>
                <c:pt idx="0">
                  <c:v>8</c:v>
                </c:pt>
                <c:pt idx="1">
                  <c:v>12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72-4610-BF43-25B87BB695F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>
          <a:outerShdw blurRad="63500" sx="102000" sy="102000" algn="ctr" rotWithShape="0">
            <a:srgbClr val="1B4094">
              <a:alpha val="40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[CareerMode_Sheets.xlsm]GRÁFICOS!TablaDinámica7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rgbClr val="7030A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6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rgbClr val="92D05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rgbClr val="D6009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rgbClr val="C0000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rgbClr val="7030A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rgbClr val="92D05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rgbClr val="92D05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4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rgbClr val="C0000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rgbClr val="D6009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 w="19050">
            <a:noFill/>
          </a:ln>
          <a:effectLst/>
        </c:spPr>
      </c:pivotFmt>
      <c:pivotFmt>
        <c:idx val="21"/>
        <c:spPr>
          <a:solidFill>
            <a:srgbClr val="7030A0"/>
          </a:solidFill>
          <a:ln w="19050">
            <a:noFill/>
          </a:ln>
          <a:effectLst/>
        </c:spPr>
      </c:pivotFmt>
      <c:pivotFmt>
        <c:idx val="22"/>
        <c:spPr>
          <a:solidFill>
            <a:srgbClr val="92D050"/>
          </a:solidFill>
          <a:ln w="19050">
            <a:noFill/>
          </a:ln>
          <a:effectLst/>
        </c:spPr>
      </c:pivotFmt>
      <c:pivotFmt>
        <c:idx val="23"/>
        <c:spPr>
          <a:solidFill>
            <a:srgbClr val="FFD200"/>
          </a:solidFill>
          <a:ln w="19050">
            <a:noFill/>
          </a:ln>
          <a:effectLst/>
        </c:spPr>
      </c:pivotFmt>
      <c:pivotFmt>
        <c:idx val="2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5"/>
        <c:spPr>
          <a:solidFill>
            <a:schemeClr val="accent4">
              <a:lumMod val="50000"/>
            </a:schemeClr>
          </a:solidFill>
          <a:ln w="19050">
            <a:noFill/>
          </a:ln>
          <a:effectLst/>
        </c:spPr>
      </c:pivotFmt>
      <c:pivotFmt>
        <c:idx val="26"/>
        <c:spPr>
          <a:solidFill>
            <a:srgbClr val="1B4094"/>
          </a:solidFill>
          <a:ln w="19050">
            <a:noFill/>
          </a:ln>
          <a:effectLst/>
        </c:spPr>
      </c:pivotFmt>
      <c:pivotFmt>
        <c:idx val="27"/>
        <c:spPr>
          <a:solidFill>
            <a:srgbClr val="C00000"/>
          </a:solidFill>
          <a:ln w="19050">
            <a:noFill/>
          </a:ln>
          <a:effectLst/>
        </c:spPr>
      </c:pivotFmt>
      <c:pivotFmt>
        <c:idx val="28"/>
        <c:spPr>
          <a:solidFill>
            <a:srgbClr val="D60093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803569163519986E-2"/>
          <c:y val="3.1500935391987027E-2"/>
          <c:w val="0.95883025530899546"/>
          <c:h val="0.6775796549630847"/>
        </c:manualLayout>
      </c:layout>
      <c:pieChart>
        <c:varyColors val="1"/>
        <c:ser>
          <c:idx val="0"/>
          <c:order val="0"/>
          <c:tx>
            <c:strRef>
              <c:f>GRÁFICOS!$B$27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D200"/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noFill/>
              </a:ln>
              <a:effectLst/>
            </c:spPr>
          </c:dPt>
          <c:dPt>
            <c:idx val="6"/>
            <c:bubble3D val="0"/>
            <c:spPr>
              <a:solidFill>
                <a:srgbClr val="1B4094"/>
              </a:solidFill>
              <a:ln w="19050">
                <a:noFill/>
              </a:ln>
              <a:effectLst/>
            </c:spPr>
          </c:dPt>
          <c:dPt>
            <c:idx val="7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</c:dPt>
          <c:dPt>
            <c:idx val="8"/>
            <c:bubble3D val="0"/>
            <c:spPr>
              <a:solidFill>
                <a:srgbClr val="D60093"/>
              </a:solidFill>
              <a:ln w="19050"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GRÁFICOS!$A$28:$A$37</c:f>
              <c:strCache>
                <c:ptCount val="9"/>
                <c:pt idx="0">
                  <c:v>CAM</c:v>
                </c:pt>
                <c:pt idx="1">
                  <c:v>CDM</c:v>
                </c:pt>
                <c:pt idx="2">
                  <c:v>CM</c:v>
                </c:pt>
                <c:pt idx="3">
                  <c:v>DC</c:v>
                </c:pt>
                <c:pt idx="4">
                  <c:v>DFC</c:v>
                </c:pt>
                <c:pt idx="5">
                  <c:v>LD/CAD</c:v>
                </c:pt>
                <c:pt idx="6">
                  <c:v>LI/CAI</c:v>
                </c:pt>
                <c:pt idx="7">
                  <c:v>MI</c:v>
                </c:pt>
                <c:pt idx="8">
                  <c:v>SD</c:v>
                </c:pt>
              </c:strCache>
            </c:strRef>
          </c:cat>
          <c:val>
            <c:numRef>
              <c:f>GRÁFICOS!$B$28:$B$37</c:f>
              <c:numCache>
                <c:formatCode>General</c:formatCode>
                <c:ptCount val="9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D21-4341-ADA0-5DDB84CAE55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536721013962468E-2"/>
          <c:y val="0.75609094493076701"/>
          <c:w val="0.91283942667017903"/>
          <c:h val="0.184598158949309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63500" sx="102000" sy="102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[CareerMode_Sheets.xlsm]GRÁFICOS!TablaDinámica17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defRPr>
            </a:pPr>
            <a:r>
              <a:rPr lang="en-US" sz="1200" b="1">
                <a:latin typeface="Posterama" panose="020B0504020200020000" pitchFamily="34" charset="0"/>
                <a:cs typeface="Posterama" panose="020B0504020200020000" pitchFamily="34" charset="0"/>
              </a:rPr>
              <a:t>Wages offered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Posterama" panose="020B0504020200020000" pitchFamily="34" charset="0"/>
                  <a:ea typeface="+mn-ea"/>
                  <a:cs typeface="Posterama" panose="020B0504020200020000" pitchFamily="34" charset="0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GRÁFICOS!$S$4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Posterama" panose="020B0504020200020000" pitchFamily="34" charset="0"/>
                    <a:ea typeface="+mn-ea"/>
                    <a:cs typeface="Posterama" panose="020B0504020200020000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GRÁFICOS!$R$5:$R$14</c:f>
              <c:strCache>
                <c:ptCount val="10"/>
                <c:pt idx="0">
                  <c:v>Milos Kerkez</c:v>
                </c:pt>
                <c:pt idx="1">
                  <c:v>Destiny Udogie</c:v>
                </c:pt>
                <c:pt idx="2">
                  <c:v>Szymon Zurkowski</c:v>
                </c:pt>
                <c:pt idx="3">
                  <c:v>Leandro Paredes</c:v>
                </c:pt>
                <c:pt idx="4">
                  <c:v>Khéphren Thuram</c:v>
                </c:pt>
                <c:pt idx="5">
                  <c:v>Bryan Cristante</c:v>
                </c:pt>
                <c:pt idx="6">
                  <c:v>Xavi Simons</c:v>
                </c:pt>
                <c:pt idx="7">
                  <c:v>Lorenzo Pellegrini</c:v>
                </c:pt>
                <c:pt idx="8">
                  <c:v>Christopher Nkunku</c:v>
                </c:pt>
                <c:pt idx="9">
                  <c:v>Cristian Romero</c:v>
                </c:pt>
              </c:strCache>
            </c:strRef>
          </c:cat>
          <c:val>
            <c:numRef>
              <c:f>GRÁFICOS!$S$5:$S$14</c:f>
              <c:numCache>
                <c:formatCode>_-* #,##0.00\ [$€-C0A]_-;\-* #,##0.00\ [$€-C0A]_-;_-* "-"??\ [$€-C0A]_-;_-@_-</c:formatCode>
                <c:ptCount val="10"/>
                <c:pt idx="0">
                  <c:v>45000</c:v>
                </c:pt>
                <c:pt idx="1">
                  <c:v>48000</c:v>
                </c:pt>
                <c:pt idx="2">
                  <c:v>50000</c:v>
                </c:pt>
                <c:pt idx="3">
                  <c:v>51000</c:v>
                </c:pt>
                <c:pt idx="4">
                  <c:v>55000</c:v>
                </c:pt>
                <c:pt idx="5">
                  <c:v>55000</c:v>
                </c:pt>
                <c:pt idx="6">
                  <c:v>65000</c:v>
                </c:pt>
                <c:pt idx="7">
                  <c:v>100000</c:v>
                </c:pt>
                <c:pt idx="8">
                  <c:v>108000</c:v>
                </c:pt>
                <c:pt idx="9">
                  <c:v>135000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D-47A9-A19E-DAB07268E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251796031"/>
        <c:axId val="1251803231"/>
      </c:barChart>
      <c:catAx>
        <c:axId val="1251796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51803231"/>
        <c:crosses val="autoZero"/>
        <c:auto val="1"/>
        <c:lblAlgn val="ctr"/>
        <c:lblOffset val="100"/>
        <c:noMultiLvlLbl val="0"/>
      </c:catAx>
      <c:valAx>
        <c:axId val="1251803231"/>
        <c:scaling>
          <c:orientation val="minMax"/>
        </c:scaling>
        <c:delete val="1"/>
        <c:axPos val="b"/>
        <c:numFmt formatCode="_-* #,##0.00\ [$€-C0A]_-;\-* #,##0.00\ [$€-C0A]_-;_-* &quot;-&quot;??\ [$€-C0A]_-;_-@_-" sourceLinked="1"/>
        <c:majorTickMark val="none"/>
        <c:minorTickMark val="none"/>
        <c:tickLblPos val="nextTo"/>
        <c:crossAx val="125179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127000" sx="103000" sy="103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[CareerMode_Sheets.xlsm]GRÁFICOS!TablaDinámica19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Posterama" panose="020B0504020200020000" pitchFamily="34" charset="0"/>
                <a:cs typeface="Posterama" panose="020B0504020200020000" pitchFamily="34" charset="0"/>
              </a:rPr>
              <a:t>Selling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Posterama" panose="020B0504020200020000" pitchFamily="34" charset="0"/>
                  <a:ea typeface="+mn-ea"/>
                  <a:cs typeface="Posterama" panose="020B0504020200020000" pitchFamily="34" charset="0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GRÁFICOS!$S$20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Posterama" panose="020B0504020200020000" pitchFamily="34" charset="0"/>
                    <a:ea typeface="+mn-ea"/>
                    <a:cs typeface="Posterama" panose="020B0504020200020000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GRÁFICOS!$R$21:$R$27</c:f>
              <c:strCache>
                <c:ptCount val="6"/>
                <c:pt idx="0">
                  <c:v>Hugo Bueno</c:v>
                </c:pt>
                <c:pt idx="1">
                  <c:v>Pozuelo</c:v>
                </c:pt>
                <c:pt idx="2">
                  <c:v>Leandro Paredes</c:v>
                </c:pt>
                <c:pt idx="3">
                  <c:v>Ian Maatsen</c:v>
                </c:pt>
                <c:pt idx="4">
                  <c:v>Lorenzo Pellegrini</c:v>
                </c:pt>
                <c:pt idx="5">
                  <c:v>Wilfried Gnonto</c:v>
                </c:pt>
              </c:strCache>
            </c:strRef>
          </c:cat>
          <c:val>
            <c:numRef>
              <c:f>GRÁFICOS!$S$21:$S$27</c:f>
              <c:numCache>
                <c:formatCode>_-* #,##0\ "€"_-;\-* #,##0\ "€"_-;_-* "-"??\ "€"_-;_-@_-</c:formatCode>
                <c:ptCount val="6"/>
                <c:pt idx="0">
                  <c:v>14400000</c:v>
                </c:pt>
                <c:pt idx="1">
                  <c:v>22000000</c:v>
                </c:pt>
                <c:pt idx="2">
                  <c:v>25000000</c:v>
                </c:pt>
                <c:pt idx="3">
                  <c:v>32500000</c:v>
                </c:pt>
                <c:pt idx="4">
                  <c:v>60000000</c:v>
                </c:pt>
                <c:pt idx="5">
                  <c:v>70100000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F-4E42-B809-0C89C26494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927117200"/>
        <c:axId val="1927118640"/>
      </c:barChart>
      <c:catAx>
        <c:axId val="1927117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7118640"/>
        <c:crosses val="autoZero"/>
        <c:auto val="1"/>
        <c:lblAlgn val="ctr"/>
        <c:lblOffset val="100"/>
        <c:noMultiLvlLbl val="0"/>
      </c:catAx>
      <c:valAx>
        <c:axId val="1927118640"/>
        <c:scaling>
          <c:orientation val="minMax"/>
        </c:scaling>
        <c:delete val="1"/>
        <c:axPos val="b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92711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srgbClr val="1B4094">
          <a:alpha val="40000"/>
        </a:srgb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47625</xdr:rowOff>
        </xdr:from>
        <xdr:to>
          <xdr:col>13</xdr:col>
          <xdr:colOff>295275</xdr:colOff>
          <xdr:row>6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0</xdr:row>
      <xdr:rowOff>85724</xdr:rowOff>
    </xdr:from>
    <xdr:to>
      <xdr:col>16</xdr:col>
      <xdr:colOff>333375</xdr:colOff>
      <xdr:row>5</xdr:row>
      <xdr:rowOff>57151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0B06228-5B74-80EC-FD89-DB53E02B782F}"/>
            </a:ext>
          </a:extLst>
        </xdr:cNvPr>
        <xdr:cNvGrpSpPr/>
      </xdr:nvGrpSpPr>
      <xdr:grpSpPr>
        <a:xfrm>
          <a:off x="2819400" y="85724"/>
          <a:ext cx="9086850" cy="781052"/>
          <a:chOff x="3524251" y="85724"/>
          <a:chExt cx="8718113" cy="781052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F3409114-E181-1492-3310-C726ED4910A1}"/>
              </a:ext>
            </a:extLst>
          </xdr:cNvPr>
          <xdr:cNvSpPr/>
        </xdr:nvSpPr>
        <xdr:spPr>
          <a:xfrm>
            <a:off x="3914776" y="85724"/>
            <a:ext cx="7943850" cy="771525"/>
          </a:xfrm>
          <a:prstGeom prst="roundRect">
            <a:avLst/>
          </a:prstGeom>
          <a:gradFill flip="none" rotWithShape="1">
            <a:gsLst>
              <a:gs pos="28000">
                <a:srgbClr val="1B4094"/>
              </a:gs>
              <a:gs pos="100000">
                <a:srgbClr val="FFD200"/>
              </a:gs>
            </a:gsLst>
            <a:lin ang="2700000" scaled="1"/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2000"/>
              <a:t>Parma Calcio 1913</a:t>
            </a:r>
            <a:r>
              <a:rPr lang="es-ES" sz="2000" baseline="0"/>
              <a:t> Fifa Career Mode Summary Dashboard</a:t>
            </a:r>
            <a:endParaRPr lang="es-ES" sz="20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62F82B5C-6803-083A-520E-BA92416F8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51" y="85726"/>
            <a:ext cx="1412438" cy="781050"/>
          </a:xfrm>
          <a:prstGeom prst="rect">
            <a:avLst/>
          </a:prstGeom>
        </xdr:spPr>
      </xdr:pic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C9096C-5760-4B70-9EAE-BC35596A74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926" y="85726"/>
            <a:ext cx="1412438" cy="7810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6</xdr:row>
      <xdr:rowOff>85724</xdr:rowOff>
    </xdr:from>
    <xdr:to>
      <xdr:col>16</xdr:col>
      <xdr:colOff>0</xdr:colOff>
      <xdr:row>43</xdr:row>
      <xdr:rowOff>66674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31AE244-1DC6-400A-81CC-8393385F5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</xdr:row>
      <xdr:rowOff>133352</xdr:rowOff>
    </xdr:from>
    <xdr:to>
      <xdr:col>4</xdr:col>
      <xdr:colOff>485775</xdr:colOff>
      <xdr:row>23</xdr:row>
      <xdr:rowOff>57150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A80BF31C-CBF7-5709-8881-B1889C7C8B36}"/>
            </a:ext>
          </a:extLst>
        </xdr:cNvPr>
        <xdr:cNvGrpSpPr/>
      </xdr:nvGrpSpPr>
      <xdr:grpSpPr>
        <a:xfrm>
          <a:off x="142875" y="1104902"/>
          <a:ext cx="2771775" cy="2676523"/>
          <a:chOff x="171450" y="1038226"/>
          <a:chExt cx="3238499" cy="2466973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2EF96C44-2D31-4A20-A6C4-A13BCB8E3B85}"/>
              </a:ext>
            </a:extLst>
          </xdr:cNvPr>
          <xdr:cNvGraphicFramePr>
            <a:graphicFrameLocks/>
          </xdr:cNvGraphicFramePr>
        </xdr:nvGraphicFramePr>
        <xdr:xfrm>
          <a:off x="171450" y="1362074"/>
          <a:ext cx="3238499" cy="2143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6F2789B-1F0B-8CBA-CF09-7C0E9712DD29}"/>
              </a:ext>
            </a:extLst>
          </xdr:cNvPr>
          <xdr:cNvSpPr txBox="1"/>
        </xdr:nvSpPr>
        <xdr:spPr>
          <a:xfrm>
            <a:off x="605476" y="1038226"/>
            <a:ext cx="2481736" cy="333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es-ES" sz="1200" b="1">
                <a:solidFill>
                  <a:schemeClr val="tx1">
                    <a:lumMod val="65000"/>
                    <a:lumOff val="3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rPr>
              <a:t>Total valoration </a:t>
            </a:r>
            <a:r>
              <a:rPr lang="es-ES"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osterama" panose="020B0504020200020000" pitchFamily="34" charset="0"/>
                <a:ea typeface="+mn-ea"/>
                <a:cs typeface="Posterama" panose="020B0504020200020000" pitchFamily="34" charset="0"/>
              </a:rPr>
              <a:t>change</a:t>
            </a:r>
          </a:p>
        </xdr:txBody>
      </xdr:sp>
    </xdr:grpSp>
    <xdr:clientData/>
  </xdr:twoCellAnchor>
  <xdr:twoCellAnchor>
    <xdr:from>
      <xdr:col>1</xdr:col>
      <xdr:colOff>0</xdr:colOff>
      <xdr:row>24</xdr:row>
      <xdr:rowOff>142876</xdr:rowOff>
    </xdr:from>
    <xdr:to>
      <xdr:col>4</xdr:col>
      <xdr:colOff>476250</xdr:colOff>
      <xdr:row>38</xdr:row>
      <xdr:rowOff>142876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CAFA5FFE-D4B1-404C-A12C-D49084A65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323851</xdr:colOff>
      <xdr:row>1</xdr:row>
      <xdr:rowOff>57150</xdr:rowOff>
    </xdr:from>
    <xdr:to>
      <xdr:col>23</xdr:col>
      <xdr:colOff>95251</xdr:colOff>
      <xdr:row>20</xdr:row>
      <xdr:rowOff>89087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BD4A089-1D2E-4AAE-B5B8-92DBBFD29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303679</xdr:colOff>
      <xdr:row>21</xdr:row>
      <xdr:rowOff>114300</xdr:rowOff>
    </xdr:from>
    <xdr:to>
      <xdr:col>19</xdr:col>
      <xdr:colOff>581025</xdr:colOff>
      <xdr:row>41</xdr:row>
      <xdr:rowOff>152399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1E2CC59-0488-41A8-B5F8-3955733AA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676275</xdr:colOff>
      <xdr:row>21</xdr:row>
      <xdr:rowOff>104775</xdr:rowOff>
    </xdr:from>
    <xdr:to>
      <xdr:col>23</xdr:col>
      <xdr:colOff>123825</xdr:colOff>
      <xdr:row>41</xdr:row>
      <xdr:rowOff>142875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2B84F2D-4D42-4AC3-95A0-B3F894BE1F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190500</xdr:colOff>
      <xdr:row>1</xdr:row>
      <xdr:rowOff>0</xdr:rowOff>
    </xdr:from>
    <xdr:to>
      <xdr:col>4</xdr:col>
      <xdr:colOff>0</xdr:colOff>
      <xdr:row>5</xdr:row>
      <xdr:rowOff>133350</xdr:rowOff>
    </xdr:to>
    <xdr:sp macro="[0]!ToFinances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8AFD8325-7993-2CD5-2747-F9B93FC13A2D}"/>
            </a:ext>
          </a:extLst>
        </xdr:cNvPr>
        <xdr:cNvSpPr/>
      </xdr:nvSpPr>
      <xdr:spPr>
        <a:xfrm>
          <a:off x="333375" y="161925"/>
          <a:ext cx="2095500" cy="781050"/>
        </a:xfrm>
        <a:prstGeom prst="roundRect">
          <a:avLst/>
        </a:prstGeom>
        <a:solidFill>
          <a:srgbClr val="1B4094"/>
        </a:solidFill>
        <a:effectLst>
          <a:outerShdw blurRad="63500" sx="103000" sy="103000" algn="ctr" rotWithShape="0">
            <a:srgbClr val="1B4094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solidFill>
                <a:srgbClr val="FFD200"/>
              </a:solidFill>
              <a:latin typeface="Arial Rounded MT Bold" panose="020F0704030504030204" pitchFamily="34" charset="0"/>
            </a:rPr>
            <a:t>Financial</a:t>
          </a:r>
          <a:r>
            <a:rPr lang="es-ES" sz="2000" baseline="0">
              <a:solidFill>
                <a:srgbClr val="FFD200"/>
              </a:solidFill>
              <a:latin typeface="Arial Rounded MT Bold" panose="020F0704030504030204" pitchFamily="34" charset="0"/>
            </a:rPr>
            <a:t> Sheet</a:t>
          </a:r>
          <a:endParaRPr lang="es-ES" sz="2000">
            <a:solidFill>
              <a:srgbClr val="FFD200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0</xdr:row>
      <xdr:rowOff>85724</xdr:rowOff>
    </xdr:from>
    <xdr:to>
      <xdr:col>16</xdr:col>
      <xdr:colOff>333375</xdr:colOff>
      <xdr:row>5</xdr:row>
      <xdr:rowOff>57151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D3B16CB-1BCD-401E-AE18-752BBAC42DB0}"/>
            </a:ext>
          </a:extLst>
        </xdr:cNvPr>
        <xdr:cNvGrpSpPr/>
      </xdr:nvGrpSpPr>
      <xdr:grpSpPr>
        <a:xfrm>
          <a:off x="2819400" y="85724"/>
          <a:ext cx="9086850" cy="781052"/>
          <a:chOff x="3524251" y="85724"/>
          <a:chExt cx="8718113" cy="781052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F9888A40-53B0-7FB2-A66D-70E845496C25}"/>
              </a:ext>
            </a:extLst>
          </xdr:cNvPr>
          <xdr:cNvSpPr/>
        </xdr:nvSpPr>
        <xdr:spPr>
          <a:xfrm>
            <a:off x="3914776" y="85724"/>
            <a:ext cx="7943850" cy="771525"/>
          </a:xfrm>
          <a:prstGeom prst="roundRect">
            <a:avLst/>
          </a:prstGeom>
          <a:gradFill flip="none" rotWithShape="1">
            <a:gsLst>
              <a:gs pos="28000">
                <a:srgbClr val="1B4094"/>
              </a:gs>
              <a:gs pos="100000">
                <a:srgbClr val="FFD200"/>
              </a:gs>
            </a:gsLst>
            <a:lin ang="2700000" scaled="1"/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2000"/>
              <a:t>Parma Calcio 1913</a:t>
            </a:r>
            <a:r>
              <a:rPr lang="es-ES" sz="2000" baseline="0"/>
              <a:t> Fifa Career Mode Summary Dashboard</a:t>
            </a:r>
            <a:endParaRPr lang="es-ES" sz="20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1E95E032-73EB-60A6-28CA-4AB6B639E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51" y="85726"/>
            <a:ext cx="1412438" cy="781050"/>
          </a:xfrm>
          <a:prstGeom prst="rect">
            <a:avLst/>
          </a:prstGeom>
        </xdr:spPr>
      </xdr:pic>
      <xdr:pic>
        <xdr:nvPicPr>
          <xdr:cNvPr id="5" name="Imagen 4">
            <a:extLst>
              <a:ext uri="{FF2B5EF4-FFF2-40B4-BE49-F238E27FC236}">
                <a16:creationId xmlns:a16="http://schemas.microsoft.com/office/drawing/2014/main" id="{D6DF89AC-462B-C935-6AA2-AEFE027B3A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926" y="85726"/>
            <a:ext cx="1412438" cy="7810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190500</xdr:colOff>
      <xdr:row>0</xdr:row>
      <xdr:rowOff>114300</xdr:rowOff>
    </xdr:from>
    <xdr:to>
      <xdr:col>4</xdr:col>
      <xdr:colOff>0</xdr:colOff>
      <xdr:row>5</xdr:row>
      <xdr:rowOff>85725</xdr:rowOff>
    </xdr:to>
    <xdr:sp macro="[0]!ToMain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87519283-274B-4730-BD2B-D564838C601E}"/>
            </a:ext>
          </a:extLst>
        </xdr:cNvPr>
        <xdr:cNvSpPr/>
      </xdr:nvSpPr>
      <xdr:spPr>
        <a:xfrm>
          <a:off x="333375" y="114300"/>
          <a:ext cx="2095500" cy="781050"/>
        </a:xfrm>
        <a:prstGeom prst="roundRect">
          <a:avLst/>
        </a:prstGeom>
        <a:solidFill>
          <a:srgbClr val="1B4094"/>
        </a:solidFill>
        <a:effectLst>
          <a:outerShdw blurRad="63500" sx="103000" sy="103000" algn="ctr" rotWithShape="0">
            <a:srgbClr val="1B4094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solidFill>
                <a:srgbClr val="FFD200"/>
              </a:solidFill>
              <a:latin typeface="Arial Rounded MT Bold" panose="020F0704030504030204" pitchFamily="34" charset="0"/>
            </a:rPr>
            <a:t>Main</a:t>
          </a:r>
        </a:p>
        <a:p>
          <a:pPr algn="ctr"/>
          <a:r>
            <a:rPr lang="es-ES" sz="2000" baseline="0">
              <a:solidFill>
                <a:srgbClr val="FFD200"/>
              </a:solidFill>
              <a:latin typeface="Arial Rounded MT Bold" panose="020F0704030504030204" pitchFamily="34" charset="0"/>
            </a:rPr>
            <a:t>Sheet</a:t>
          </a:r>
          <a:endParaRPr lang="es-ES" sz="2000">
            <a:solidFill>
              <a:srgbClr val="FFD2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4</xdr:col>
      <xdr:colOff>466725</xdr:colOff>
      <xdr:row>11</xdr:row>
      <xdr:rowOff>47625</xdr:rowOff>
    </xdr:from>
    <xdr:to>
      <xdr:col>16</xdr:col>
      <xdr:colOff>371475</xdr:colOff>
      <xdr:row>45</xdr:row>
      <xdr:rowOff>104775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22AA86A-4D76-4920-A218-9E8542B93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542925</xdr:colOff>
      <xdr:row>5</xdr:row>
      <xdr:rowOff>133351</xdr:rowOff>
    </xdr:from>
    <xdr:to>
      <xdr:col>7</xdr:col>
      <xdr:colOff>581025</xdr:colOff>
      <xdr:row>9</xdr:row>
      <xdr:rowOff>76201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Temporada">
              <a:extLst>
                <a:ext uri="{FF2B5EF4-FFF2-40B4-BE49-F238E27FC236}">
                  <a16:creationId xmlns:a16="http://schemas.microsoft.com/office/drawing/2014/main" id="{11D4450B-6C0E-7190-FACD-8FEC8EBB41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mporad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1800" y="942976"/>
              <a:ext cx="2324100" cy="59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457201</xdr:colOff>
      <xdr:row>5</xdr:row>
      <xdr:rowOff>133350</xdr:rowOff>
    </xdr:from>
    <xdr:to>
      <xdr:col>16</xdr:col>
      <xdr:colOff>333375</xdr:colOff>
      <xdr:row>9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7" name="Posición">
              <a:extLst>
                <a:ext uri="{FF2B5EF4-FFF2-40B4-BE49-F238E27FC236}">
                  <a16:creationId xmlns:a16="http://schemas.microsoft.com/office/drawing/2014/main" id="{9A07FC20-7DDE-08D4-99EB-342CE21EC7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44076" y="942975"/>
              <a:ext cx="2162174" cy="619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666750</xdr:colOff>
      <xdr:row>5</xdr:row>
      <xdr:rowOff>133350</xdr:rowOff>
    </xdr:from>
    <xdr:to>
      <xdr:col>9</xdr:col>
      <xdr:colOff>504825</xdr:colOff>
      <xdr:row>9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Pierna habil">
              <a:extLst>
                <a:ext uri="{FF2B5EF4-FFF2-40B4-BE49-F238E27FC236}">
                  <a16:creationId xmlns:a16="http://schemas.microsoft.com/office/drawing/2014/main" id="{FBD8B651-F544-7288-5A4C-F7C315F53C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ierna habi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81625" y="942975"/>
              <a:ext cx="1362075" cy="600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590549</xdr:colOff>
      <xdr:row>5</xdr:row>
      <xdr:rowOff>133350</xdr:rowOff>
    </xdr:from>
    <xdr:to>
      <xdr:col>13</xdr:col>
      <xdr:colOff>381000</xdr:colOff>
      <xdr:row>9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Rol">
              <a:extLst>
                <a:ext uri="{FF2B5EF4-FFF2-40B4-BE49-F238E27FC236}">
                  <a16:creationId xmlns:a16="http://schemas.microsoft.com/office/drawing/2014/main" id="{C12B1122-6621-A8D4-E8EB-5ACDAFDB83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29424" y="942975"/>
              <a:ext cx="2838451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105334</xdr:colOff>
      <xdr:row>16</xdr:row>
      <xdr:rowOff>47624</xdr:rowOff>
    </xdr:from>
    <xdr:to>
      <xdr:col>4</xdr:col>
      <xdr:colOff>266700</xdr:colOff>
      <xdr:row>27</xdr:row>
      <xdr:rowOff>86842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A342A911-018B-44B2-A9F8-A925D333B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28</xdr:row>
      <xdr:rowOff>114300</xdr:rowOff>
    </xdr:from>
    <xdr:to>
      <xdr:col>4</xdr:col>
      <xdr:colOff>266700</xdr:colOff>
      <xdr:row>45</xdr:row>
      <xdr:rowOff>112060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FF3A8C9-F514-4C34-A84C-039F47740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104774</xdr:colOff>
      <xdr:row>0</xdr:row>
      <xdr:rowOff>95250</xdr:rowOff>
    </xdr:from>
    <xdr:to>
      <xdr:col>19</xdr:col>
      <xdr:colOff>590549</xdr:colOff>
      <xdr:row>5</xdr:row>
      <xdr:rowOff>104775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50772765-1A9D-E695-A5F8-6879AF9094F4}"/>
            </a:ext>
          </a:extLst>
        </xdr:cNvPr>
        <xdr:cNvSpPr/>
      </xdr:nvSpPr>
      <xdr:spPr>
        <a:xfrm>
          <a:off x="12439649" y="95250"/>
          <a:ext cx="2009775" cy="819150"/>
        </a:xfrm>
        <a:prstGeom prst="roundRect">
          <a:avLst/>
        </a:prstGeom>
        <a:gradFill flip="none" rotWithShape="1">
          <a:gsLst>
            <a:gs pos="28000">
              <a:srgbClr val="1B4094"/>
            </a:gs>
            <a:gs pos="100000">
              <a:srgbClr val="FFD200"/>
            </a:gs>
          </a:gsLst>
          <a:lin ang="27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200" b="0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Total ingresos ventas</a:t>
          </a:r>
          <a:endParaRPr lang="es-ES" sz="16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s-ES" sz="1400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560,885,000 €</a:t>
          </a:r>
          <a:r>
            <a:rPr lang="es-ES" sz="14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endParaRPr lang="es-E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742949</xdr:colOff>
      <xdr:row>0</xdr:row>
      <xdr:rowOff>95250</xdr:rowOff>
    </xdr:from>
    <xdr:to>
      <xdr:col>22</xdr:col>
      <xdr:colOff>638175</xdr:colOff>
      <xdr:row>5</xdr:row>
      <xdr:rowOff>104775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5AF2170C-0687-449F-B6B5-32DDBDC3B784}"/>
            </a:ext>
          </a:extLst>
        </xdr:cNvPr>
        <xdr:cNvSpPr/>
      </xdr:nvSpPr>
      <xdr:spPr>
        <a:xfrm>
          <a:off x="14601824" y="95250"/>
          <a:ext cx="2181226" cy="819150"/>
        </a:xfrm>
        <a:prstGeom prst="roundRect">
          <a:avLst/>
        </a:prstGeom>
        <a:gradFill flip="none" rotWithShape="1">
          <a:gsLst>
            <a:gs pos="28000">
              <a:srgbClr val="1B4094"/>
            </a:gs>
            <a:gs pos="100000">
              <a:srgbClr val="FFD200"/>
            </a:gs>
          </a:gsLst>
          <a:lin ang="27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200" b="0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Total gasto fichajes</a:t>
          </a:r>
        </a:p>
        <a:p>
          <a:pPr marL="0" indent="0" algn="ctr"/>
          <a:r>
            <a:rPr lang="es-ES" sz="1400" b="0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600,150,000 € </a:t>
          </a:r>
          <a:endParaRPr lang="es-ES" sz="1200" b="0">
            <a:solidFill>
              <a:schemeClr val="lt1"/>
            </a:solidFill>
            <a:latin typeface="Posterama" panose="020B0504020200020000" pitchFamily="34" charset="0"/>
            <a:ea typeface="+mn-ea"/>
            <a:cs typeface="Posterama" panose="020B0504020200020000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152400</xdr:rowOff>
    </xdr:from>
    <xdr:to>
      <xdr:col>23</xdr:col>
      <xdr:colOff>0</xdr:colOff>
      <xdr:row>26</xdr:row>
      <xdr:rowOff>66675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963BDDB2-9349-4417-9810-35188FE90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761999</xdr:colOff>
      <xdr:row>27</xdr:row>
      <xdr:rowOff>104774</xdr:rowOff>
    </xdr:from>
    <xdr:to>
      <xdr:col>23</xdr:col>
      <xdr:colOff>28574</xdr:colOff>
      <xdr:row>45</xdr:row>
      <xdr:rowOff>76199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4AE36910-36BF-413F-8370-3CAEE4ECF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28574</xdr:colOff>
      <xdr:row>8</xdr:row>
      <xdr:rowOff>9524</xdr:rowOff>
    </xdr:from>
    <xdr:to>
      <xdr:col>4</xdr:col>
      <xdr:colOff>190500</xdr:colOff>
      <xdr:row>14</xdr:row>
      <xdr:rowOff>152399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29F7CF2B-1AEF-46DE-8972-BC12F0A24D58}"/>
            </a:ext>
          </a:extLst>
        </xdr:cNvPr>
        <xdr:cNvSpPr/>
      </xdr:nvSpPr>
      <xdr:spPr>
        <a:xfrm>
          <a:off x="171449" y="1304924"/>
          <a:ext cx="2447926" cy="1114425"/>
        </a:xfrm>
        <a:prstGeom prst="roundRect">
          <a:avLst/>
        </a:prstGeom>
        <a:gradFill flip="none" rotWithShape="1">
          <a:gsLst>
            <a:gs pos="28000">
              <a:srgbClr val="1B4094"/>
            </a:gs>
            <a:gs pos="100000">
              <a:srgbClr val="FFD200"/>
            </a:gs>
          </a:gsLst>
          <a:lin ang="27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600" b="1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TOP</a:t>
          </a:r>
          <a:r>
            <a:rPr lang="es-ES" sz="1600" b="1" baseline="0">
              <a:solidFill>
                <a:schemeClr val="lt1"/>
              </a:solidFill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 SIGNING FEE</a:t>
          </a:r>
        </a:p>
        <a:p>
          <a:pPr marL="0" indent="0" algn="ctr"/>
          <a:r>
            <a:rPr lang="es-ES" sz="1600" b="0" i="0" u="none" strike="noStrike">
              <a:solidFill>
                <a:schemeClr val="lt1"/>
              </a:solidFill>
              <a:effectLst/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Christopher Nkunku</a:t>
          </a:r>
        </a:p>
        <a:p>
          <a:pPr marL="0" indent="0" algn="ctr"/>
          <a:r>
            <a:rPr lang="es-ES" sz="1600" b="0" i="1" u="none" strike="noStrike">
              <a:solidFill>
                <a:schemeClr val="lt1"/>
              </a:solidFill>
              <a:effectLst/>
              <a:latin typeface="Posterama" panose="020B0504020200020000" pitchFamily="34" charset="0"/>
              <a:ea typeface="+mn-ea"/>
              <a:cs typeface="Posterama" panose="020B0504020200020000" pitchFamily="34" charset="0"/>
            </a:rPr>
            <a:t>88,400,000 € </a:t>
          </a:r>
          <a:r>
            <a:rPr lang="es-ES" sz="1600" i="1">
              <a:latin typeface="Posterama" panose="020B0504020200020000" pitchFamily="34" charset="0"/>
              <a:cs typeface="Posterama" panose="020B0504020200020000" pitchFamily="34" charset="0"/>
            </a:rPr>
            <a:t> </a:t>
          </a:r>
          <a:endParaRPr lang="es-ES" sz="1600" b="0" i="1" baseline="0">
            <a:solidFill>
              <a:schemeClr val="lt1"/>
            </a:solidFill>
            <a:latin typeface="Posterama" panose="020B0504020200020000" pitchFamily="34" charset="0"/>
            <a:ea typeface="+mn-ea"/>
            <a:cs typeface="Posterama" panose="020B0504020200020000" pitchFamily="34" charset="0"/>
          </a:endParaRPr>
        </a:p>
        <a:p>
          <a:pPr marL="0" indent="0" algn="ctr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117.817339004629" createdVersion="8" refreshedVersion="8" minRefreshableVersion="3" recordCount="98" xr:uid="{D7423B88-4F71-4D8F-A16F-FE81CC40A367}">
  <cacheSource type="worksheet">
    <worksheetSource name="EstadisticasJugadores"/>
  </cacheSource>
  <cacheFields count="12">
    <cacheField name="Temporada" numFmtId="1">
      <sharedItems count="4">
        <s v="22/23"/>
        <s v="23/24"/>
        <s v="24/25"/>
        <s v="25/26"/>
      </sharedItems>
    </cacheField>
    <cacheField name="Nombre" numFmtId="0">
      <sharedItems count="42">
        <s v="Alvaro Aguado"/>
        <s v="Szymon Zurkowski"/>
        <s v="Dennis Man"/>
        <s v="Adrián Bernabé"/>
        <s v="Franco Fagúndez"/>
        <s v="Wilfried Gnonto"/>
        <s v="Buffon"/>
        <s v="Cannavaro"/>
        <s v="Cresposo"/>
        <s v="Frankie Amaya"/>
        <s v="Hernani"/>
        <s v="Ian Maatsen"/>
        <s v="Brandon Soppy"/>
        <s v="Giorgio Scalvini"/>
        <s v="Ibrahima Bamba"/>
        <s v="Pozuelo"/>
        <s v="Hugo Bueno"/>
        <s v="Valentin Gomez"/>
        <s v="Wijnaldum"/>
        <s v="Enrico Delprato"/>
        <s v="Marco Capuano"/>
        <s v="Stanko Juric"/>
        <s v="Pääsuke"/>
        <s v="Adrián Serrano"/>
        <s v="Lorenzo Pellegrini"/>
        <s v="Khéphren Thuram"/>
        <s v="Fabio Miretti"/>
        <s v="Leandro Paredes"/>
        <s v="Destiny Udogie"/>
        <s v="Vincenzo Longo"/>
        <s v="Isac Nilsson"/>
        <s v="Andrus Rebane"/>
        <s v="Jerome Roussillon"/>
        <s v="Wilfried Singo"/>
        <s v="Xavi Simons"/>
        <s v="Bryan Cristante"/>
        <s v="Cristian Romero"/>
        <s v="Christopher Nkunku"/>
        <s v="Milos Kerkez"/>
        <s v="Joakim Andreassen"/>
        <s v="Afonso Correa"/>
        <s v="Bright Akwo Arrey-Mbi"/>
      </sharedItems>
    </cacheField>
    <cacheField name="Goles" numFmtId="0">
      <sharedItems containsSemiMixedTypes="0" containsString="0" containsNumber="1" containsInteger="1" minValue="0" maxValue="30"/>
    </cacheField>
    <cacheField name="Asistencias" numFmtId="0">
      <sharedItems containsSemiMixedTypes="0" containsString="0" containsNumber="1" containsInteger="1" minValue="0" maxValue="15"/>
    </cacheField>
    <cacheField name="Tarjetas amarillas" numFmtId="0">
      <sharedItems containsSemiMixedTypes="0" containsString="0" containsNumber="1" containsInteger="1" minValue="0" maxValue="6"/>
    </cacheField>
    <cacheField name="Tarjetas rojas" numFmtId="0">
      <sharedItems containsSemiMixedTypes="0" containsString="0" containsNumber="1" containsInteger="1" minValue="0" maxValue="2"/>
    </cacheField>
    <cacheField name="Porterias a cero" numFmtId="0">
      <sharedItems containsSemiMixedTypes="0" containsString="0" containsNumber="1" containsInteger="1" minValue="0" maxValue="19"/>
    </cacheField>
    <cacheField name="Media Rendimiento" numFmtId="2">
      <sharedItems containsSemiMixedTypes="0" containsString="0" containsNumber="1" minValue="6" maxValue="7.56"/>
    </cacheField>
    <cacheField name="Valoración Final" numFmtId="0">
      <sharedItems containsSemiMixedTypes="0" containsString="0" containsNumber="1" containsInteger="1" minValue="68" maxValue="95"/>
    </cacheField>
    <cacheField name="Valoración Inicio" numFmtId="0">
      <sharedItems containsSemiMixedTypes="0" containsString="0" containsNumber="1" containsInteger="1" minValue="63" maxValue="91"/>
    </cacheField>
    <cacheField name="Valor mercado Final" numFmtId="166">
      <sharedItems containsMixedTypes="1" containsNumber="1" containsInteger="1" minValue="1300000" maxValue="133500000"/>
    </cacheField>
    <cacheField name="Partidos jugados" numFmtId="0">
      <sharedItems containsSemiMixedTypes="0" containsString="0" containsNumber="1" containsInteger="1" minValue="3" maxValue="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28320833331" backgroundQuery="1" createdVersion="8" refreshedVersion="8" minRefreshableVersion="3" recordCount="0" supportSubquery="1" supportAdvancedDrill="1" xr:uid="{2B2CC614-7D70-4888-B509-4E253A660CD6}">
  <cacheSource type="external" connectionId="4"/>
  <cacheFields count="2">
    <cacheField name="[Fichajes 1].[Nombre].[Nombre]" caption="Nombre" numFmtId="0" hierarchy="17" level="1">
      <sharedItems count="6">
        <s v="Hugo Bueno"/>
        <s v="Ian Maatsen"/>
        <s v="Leandro Paredes"/>
        <s v="Lorenzo Pellegrini"/>
        <s v="Pozuelo"/>
        <s v="Wilfried Gnonto"/>
      </sharedItems>
    </cacheField>
    <cacheField name="[Measures].[Suma de Balance Venta]" caption="Suma de Balance Venta" numFmtId="0" hierarchy="60" level="32767"/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2" memberValueDatatype="130" unbalanced="0">
      <fieldsUsage count="2">
        <fieldUsage x="-1"/>
        <fieldUsage x="0"/>
      </fieldsUsage>
    </cacheHierarchy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0" memberValueDatatype="130" unbalanced="0"/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098958332" backgroundQuery="1" createdVersion="8" refreshedVersion="8" minRefreshableVersion="3" recordCount="0" supportSubquery="1" supportAdvancedDrill="1" xr:uid="{06B7375E-4910-4425-8F59-341C016DA529}">
  <cacheSource type="external" connectionId="4"/>
  <cacheFields count="5">
    <cacheField name="[Measures].[Suma de Valor de mercado]" caption="Suma de Valor de mercado" numFmtId="0" hierarchy="53" level="32767"/>
    <cacheField name="[Fichajes 1].[Nombre].[Nombre]" caption="Nombre" numFmtId="0" hierarchy="17" level="1">
      <sharedItems count="12">
        <s v="Bryan Cristante"/>
        <s v="Christopher Nkunku"/>
        <s v="Cristian Romero"/>
        <s v="Destiny Udogie"/>
        <s v="Fabio Miretti"/>
        <s v="Khéphren Thuram"/>
        <s v="Leandro Paredes"/>
        <s v="Lorenzo Pellegrini"/>
        <s v="Milos Kerkez"/>
        <s v="Wilfried Gnonto"/>
        <s v="Wilfried Singo"/>
        <s v="Xavi Simons"/>
      </sharedItems>
    </cacheField>
    <cacheField name="[Measures].[Suma de Precio fichaje]" caption="Suma de Precio fichaje" numFmtId="0" hierarchy="54" level="32767"/>
    <cacheField name="[Measures].[Suma de Balance obtenido]" caption="Suma de Balance obtenido" numFmtId="0" hierarchy="55" level="32767"/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2" memberValueDatatype="130" unbalanced="0">
      <fieldsUsage count="2">
        <fieldUsage x="-1"/>
        <fieldUsage x="1"/>
      </fieldsUsage>
    </cacheHierarchy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4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099421294" backgroundQuery="1" createdVersion="8" refreshedVersion="8" minRefreshableVersion="3" recordCount="0" supportSubquery="1" supportAdvancedDrill="1" xr:uid="{3CB41D4C-3ED1-47BE-91D4-3E06D80992AC}">
  <cacheSource type="external" connectionId="4"/>
  <cacheFields count="3">
    <cacheField name="[EstadisticasJugadores 1].[Nombre].[Nombre]" caption="Nombre" numFmtId="0" hierarchy="3" level="1">
      <sharedItems count="10">
        <s v="Adrián Bernabé"/>
        <s v="Adrián Serrano"/>
        <s v="Brandon Soppy"/>
        <s v="Buffon"/>
        <s v="Cannavaro"/>
        <s v="Cresposo"/>
        <s v="Dennis Man"/>
        <s v="Franco Fagúndez"/>
        <s v="Giorgio Scalvini"/>
        <s v="Ibrahima Bamba"/>
      </sharedItems>
    </cacheField>
    <cacheField name="[Measures].[Suma de Cambio valoración]" caption="Suma de Cambio valoración" numFmtId="0" hierarchy="46" level="32767"/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2" memberValueDatatype="130" unbalanced="0">
      <fieldsUsage count="2">
        <fieldUsage x="-1"/>
        <fieldUsage x="0"/>
      </fieldsUsage>
    </cacheHierarchy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2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099768517" backgroundQuery="1" createdVersion="8" refreshedVersion="8" minRefreshableVersion="3" recordCount="0" supportSubquery="1" supportAdvancedDrill="1" xr:uid="{2D305D0B-02D9-418B-BD7B-F4F6A7C7ADC9}">
  <cacheSource type="external" connectionId="4"/>
  <cacheFields count="4">
    <cacheField name="[EstadisticasJugadores 1].[Nombre].[Nombre]" caption="Nombre" numFmtId="0" hierarchy="3" level="1">
      <sharedItems count="29">
        <s v="Adrián Bernabé"/>
        <s v="Adrián Serrano"/>
        <s v="Cresposo"/>
        <s v="Dennis Man"/>
        <s v="Fabio Miretti"/>
        <s v="Franco Fagúndez"/>
        <s v="Isac Nilsson"/>
        <s v="Khéphren Thuram"/>
        <s v="Szymon Zurkowski"/>
        <s v="Wilfried Gnonto"/>
        <s v="Alvaro Aguado" u="1"/>
        <s v="Christopher Nkunku" u="1"/>
        <s v="Cristian Romero" u="1"/>
        <s v="Destiny Udogie" u="1"/>
        <s v="Lorenzo Pellegrini" u="1"/>
        <s v="Pozuelo" u="1"/>
        <s v="Brandon Soppy" u="1"/>
        <s v="Frankie Amaya" u="1"/>
        <s v="Giorgio Scalvini" u="1"/>
        <s v="Ian Maatsen" u="1"/>
        <s v="Ibrahima Bamba" u="1"/>
        <s v="Leandro Paredes" u="1"/>
        <s v="Wilfried Singo" u="1"/>
        <s v="Xavi Simons" u="1"/>
        <s v="Marco Capuano" u="1"/>
        <s v="Milos Kerkez" u="1"/>
        <s v="Wijnaldum" u="1"/>
        <s v="Bryan Cristante" u="1"/>
        <s v="Hugo Bueno" u="1"/>
      </sharedItems>
    </cacheField>
    <cacheField name="[Measures].[Suma de Goles]" caption="Suma de Goles" numFmtId="0" hierarchy="47" level="32767"/>
    <cacheField name="[EstadisticasJugadores 1].[Temporada].[Temporada]" caption="Temporada" numFmtId="0" hierarchy="2" level="1">
      <sharedItems count="4">
        <s v="22/23"/>
        <s v="23/24"/>
        <s v="24/25"/>
        <s v="25/26"/>
      </sharedItems>
    </cacheField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2" memberValueDatatype="130" unbalanced="0">
      <fieldsUsage count="2">
        <fieldUsage x="-1"/>
        <fieldUsage x="2"/>
      </fieldsUsage>
    </cacheHierarchy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2" memberValueDatatype="130" unbalanced="0">
      <fieldsUsage count="2">
        <fieldUsage x="-1"/>
        <fieldUsage x="0"/>
      </fieldsUsage>
    </cacheHierarchy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3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10011574" backgroundQuery="1" createdVersion="8" refreshedVersion="8" minRefreshableVersion="3" recordCount="0" supportSubquery="1" supportAdvancedDrill="1" xr:uid="{BB7AA6B0-EEDC-4AC5-9729-852665CD7544}">
  <cacheSource type="external" connectionId="4"/>
  <cacheFields count="2">
    <cacheField name="[Fichajes 1].[Rol].[Rol]" caption="Rol" numFmtId="0" hierarchy="28" level="1">
      <sharedItems count="4">
        <s v="Clave"/>
        <s v="Importante"/>
        <s v="Ocasional"/>
        <s v="Rotación"/>
      </sharedItems>
    </cacheField>
    <cacheField name="[Measures].[Recuento de Nombre]" caption="Recuento de Nombre" numFmtId="0" hierarchy="48" level="32767"/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0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100462964" backgroundQuery="1" createdVersion="8" refreshedVersion="8" minRefreshableVersion="3" recordCount="0" supportSubquery="1" supportAdvancedDrill="1" xr:uid="{8C807B0D-4636-4FA1-A289-1D05A73FC9A0}">
  <cacheSource type="external" connectionId="4"/>
  <cacheFields count="3">
    <cacheField name="[Measures].[Recuento de Nombre]" caption="Recuento de Nombre" numFmtId="0" hierarchy="48" level="32767"/>
    <cacheField name="[Fichajes 1].[Posición].[Posición]" caption="Posición" numFmtId="0" hierarchy="19" level="1">
      <sharedItems count="9">
        <s v="CAM"/>
        <s v="CDM"/>
        <s v="CM"/>
        <s v="DC"/>
        <s v="DFC"/>
        <s v="LD/CAD"/>
        <s v="LI/CAI"/>
        <s v="MI"/>
        <s v="SD"/>
      </sharedItems>
    </cacheField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2" memberValueDatatype="130" unbalanced="0">
      <fieldsUsage count="2">
        <fieldUsage x="-1"/>
        <fieldUsage x="1"/>
      </fieldsUsage>
    </cacheHierarchy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2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100925925" backgroundQuery="1" createdVersion="8" refreshedVersion="8" minRefreshableVersion="3" recordCount="0" supportSubquery="1" supportAdvancedDrill="1" xr:uid="{F416667A-BE69-4DFE-9643-92ED599E5D8A}">
  <cacheSource type="external" connectionId="4"/>
  <cacheFields count="4">
    <cacheField name="[EstadisticasJugadores 1].[Nombre].[Nombre]" caption="Nombre" numFmtId="0" hierarchy="3" level="1">
      <sharedItems count="12">
        <s v="Adrián Bernabé"/>
        <s v="Adrián Serrano"/>
        <s v="Brandon Soppy"/>
        <s v="Christopher Nkunku"/>
        <s v="Cresposo"/>
        <s v="Dennis Man"/>
        <s v="Fabio Miretti"/>
        <s v="Franco Fagúndez"/>
        <s v="Isac Nilsson"/>
        <s v="Khéphren Thuram"/>
        <s v="Szymon Zurkowski"/>
        <s v="Wilfried Gnonto"/>
      </sharedItems>
    </cacheField>
    <cacheField name="[Measures].[Suma de Goles]" caption="Suma de Goles" numFmtId="0" hierarchy="47" level="32767"/>
    <cacheField name="[Measures].[Suma de Asistencias]" caption="Suma de Asistencias" numFmtId="0" hierarchy="49" level="32767"/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2" memberValueDatatype="130" unbalanced="0">
      <fieldsUsage count="2">
        <fieldUsage x="-1"/>
        <fieldUsage x="0"/>
      </fieldsUsage>
    </cacheHierarchy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3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101273149" backgroundQuery="1" createdVersion="8" refreshedVersion="8" minRefreshableVersion="3" recordCount="0" supportSubquery="1" supportAdvancedDrill="1" xr:uid="{C6B706D0-8DE2-425E-B0A4-6E890D7D4785}">
  <cacheSource type="external" connectionId="4"/>
  <cacheFields count="3">
    <cacheField name="[Measures].[Suma de Partidos jugados]" caption="Suma de Partidos jugados" numFmtId="0" hierarchy="51" level="32767"/>
    <cacheField name="[EstadisticasJugadores 1].[Nombre].[Nombre]" caption="Nombre" numFmtId="0" hierarchy="3" level="1">
      <sharedItems count="10">
        <s v="Adrián Bernabé"/>
        <s v="Brandon Soppy"/>
        <s v="Buffon"/>
        <s v="Cannavaro"/>
        <s v="Cresposo"/>
        <s v="Dennis Man"/>
        <s v="Franco Fagúndez"/>
        <s v="Giorgio Scalvini"/>
        <s v="Szymon Zurkowski"/>
        <s v="Valentin Gomez"/>
      </sharedItems>
    </cacheField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2" memberValueDatatype="130" unbalanced="0">
      <fieldsUsage count="2">
        <fieldUsage x="-1"/>
        <fieldUsage x="1"/>
      </fieldsUsage>
    </cacheHierarchy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2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42101620372" backgroundQuery="1" createdVersion="8" refreshedVersion="8" minRefreshableVersion="3" recordCount="0" supportSubquery="1" supportAdvancedDrill="1" xr:uid="{860E8470-C4B0-43A9-8243-B6C8B758AE5B}">
  <cacheSource type="external" connectionId="4"/>
  <cacheFields count="3">
    <cacheField name="[Fichajes 1].[Nombre].[Nombre]" caption="Nombre" numFmtId="0" hierarchy="17" level="1">
      <sharedItems count="10">
        <s v="Bryan Cristante"/>
        <s v="Christopher Nkunku"/>
        <s v="Cristian Romero"/>
        <s v="Destiny Udogie"/>
        <s v="Khéphren Thuram"/>
        <s v="Leandro Paredes"/>
        <s v="Lorenzo Pellegrini"/>
        <s v="Milos Kerkez"/>
        <s v="Szymon Zurkowski"/>
        <s v="Xavi Simons"/>
      </sharedItems>
    </cacheField>
    <cacheField name="[Measures].[Suma de Sueldo ofrecido]" caption="Suma de Sueldo ofrecido" numFmtId="0" hierarchy="59" level="32767"/>
    <cacheField name="[Fichajes 1].[Rol].[Rol]" caption="Rol" numFmtId="0" hierarchy="28" level="1">
      <sharedItems containsSemiMixedTypes="0" containsNonDate="0" containsString="0"/>
    </cacheField>
  </cacheFields>
  <cacheHierarchies count="61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0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2" memberValueDatatype="130" unbalanced="0">
      <fieldsUsage count="2">
        <fieldUsage x="-1"/>
        <fieldUsage x="0"/>
      </fieldsUsage>
    </cacheHierarchy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0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0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>
      <fieldsUsage count="2">
        <fieldUsage x="-1"/>
        <fieldUsage x="2"/>
      </fieldsUsage>
    </cacheHierarchy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Precio Venta]" caption="Suma de Precio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Sueldo ofrecido]" caption="Suma de Sueldo ofrecido" measure="1" displayFolder="" measureGroup="Fichajes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Balance Venta]" caption="Suma de Balance Venta" measure="1" displayFolder="" measureGroup="Fichajes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7">
    <dimension name="AllPlayersList" uniqueName="[AllPlayersList]" caption="AllPlayersList"/>
    <dimension name="EstadisticasJugadores 1" uniqueName="[EstadisticasJugadores 1]" caption="EstadisticasJugadores 1"/>
    <dimension name="Fichajes 1" uniqueName="[Fichajes 1]" caption="Fichajes 1"/>
    <dimension measure="1" name="Measures" uniqueName="[Measures]" caption="Measures"/>
    <dimension name="Tabla1" uniqueName="[Tabla1]" caption="Tabla1"/>
    <dimension name="Ventas" uniqueName="[Ventas]" caption="Ventas"/>
    <dimension name="Ventas 1" uniqueName="[Ventas 1]" caption="Ventas 1"/>
  </dimensions>
  <measureGroups count="6">
    <measureGroup name="AllPlayersList" caption="AllPlayersList"/>
    <measureGroup name="EstadisticasJugadores 1" caption="EstadisticasJugadores 1"/>
    <measureGroup name="Fichajes 1" caption="Fichajes 1"/>
    <measureGroup name="Tabla1" caption="Tabla1"/>
    <measureGroup name="Ventas" caption="Ventas"/>
    <measureGroup name="Ventas 1" caption="Ventas 1"/>
  </measureGroups>
  <maps count="13">
    <map measureGroup="0" dimension="0"/>
    <map measureGroup="0" dimension="2"/>
    <map measureGroup="0" dimension="4"/>
    <map measureGroup="1" dimension="0"/>
    <map measureGroup="1" dimension="1"/>
    <map measureGroup="1" dimension="2"/>
    <map measureGroup="1" dimension="4"/>
    <map measureGroup="2" dimension="2"/>
    <map measureGroup="2" dimension="4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117.817329166668" backgroundQuery="1" createdVersion="3" refreshedVersion="8" minRefreshableVersion="3" recordCount="0" supportSubquery="1" supportAdvancedDrill="1" xr:uid="{34CF850F-2F56-492E-86B9-F9601E965559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AllPlayersList].[Ids]" caption="Ids" attribute="1" defaultMemberUniqueName="[AllPlayersList].[Ids].[All]" allUniqueName="[AllPlayersList].[Ids].[All]" dimensionUniqueName="[AllPlayersList]" displayFolder="" count="0" memberValueDatatype="20" unbalanced="0"/>
    <cacheHierarchy uniqueName="[AllPlayersList].[Name]" caption="Name" attribute="1" defaultMemberUniqueName="[AllPlayersList].[Name].[All]" allUniqueName="[AllPlayersList].[Name].[All]" dimensionUniqueName="[AllPlayersList]" displayFolder="" count="0" memberValueDatatype="130" unbalanced="0"/>
    <cacheHierarchy uniqueName="[EstadisticasJugadores 1].[Temporada]" caption="Temporada" attribute="1" defaultMemberUniqueName="[EstadisticasJugadores 1].[Temporada].[All]" allUniqueName="[EstadisticasJugadores 1].[Temporada].[All]" dimensionUniqueName="[EstadisticasJugadores 1]" displayFolder="" count="0" memberValueDatatype="130" unbalanced="0"/>
    <cacheHierarchy uniqueName="[EstadisticasJugadores 1].[Nombre]" caption="Nombre" attribute="1" defaultMemberUniqueName="[EstadisticasJugadores 1].[Nombre].[All]" allUniqueName="[EstadisticasJugadores 1].[Nombre].[All]" dimensionUniqueName="[EstadisticasJugadores 1]" displayFolder="" count="0" memberValueDatatype="130" unbalanced="0"/>
    <cacheHierarchy uniqueName="[EstadisticasJugadores 1].[Goles]" caption="Goles" attribute="1" defaultMemberUniqueName="[EstadisticasJugadores 1].[Goles].[All]" allUniqueName="[EstadisticasJugadores 1].[Goles].[All]" dimensionUniqueName="[EstadisticasJugadores 1]" displayFolder="" count="0" memberValueDatatype="20" unbalanced="0"/>
    <cacheHierarchy uniqueName="[EstadisticasJugadores 1].[Asistencias]" caption="Asistencias" attribute="1" defaultMemberUniqueName="[EstadisticasJugadores 1].[Asistencias].[All]" allUniqueName="[EstadisticasJugadores 1].[Asistencias].[All]" dimensionUniqueName="[EstadisticasJugadores 1]" displayFolder="" count="0" memberValueDatatype="20" unbalanced="0"/>
    <cacheHierarchy uniqueName="[EstadisticasJugadores 1].[Tarjetas amarillas]" caption="Tarjetas amarillas" attribute="1" defaultMemberUniqueName="[EstadisticasJugadores 1].[Tarjetas amarillas].[All]" allUniqueName="[EstadisticasJugadores 1].[Tarjetas amarillas].[All]" dimensionUniqueName="[EstadisticasJugadores 1]" displayFolder="" count="0" memberValueDatatype="20" unbalanced="0"/>
    <cacheHierarchy uniqueName="[EstadisticasJugadores 1].[Tarjetas rojas]" caption="Tarjetas rojas" attribute="1" defaultMemberUniqueName="[EstadisticasJugadores 1].[Tarjetas rojas].[All]" allUniqueName="[EstadisticasJugadores 1].[Tarjetas rojas].[All]" dimensionUniqueName="[EstadisticasJugadores 1]" displayFolder="" count="0" memberValueDatatype="20" unbalanced="0"/>
    <cacheHierarchy uniqueName="[EstadisticasJugadores 1].[Porterias a cero]" caption="Porterias a cero" attribute="1" defaultMemberUniqueName="[EstadisticasJugadores 1].[Porterias a cero].[All]" allUniqueName="[EstadisticasJugadores 1].[Porterias a cero].[All]" dimensionUniqueName="[EstadisticasJugadores 1]" displayFolder="" count="0" memberValueDatatype="20" unbalanced="0"/>
    <cacheHierarchy uniqueName="[EstadisticasJugadores 1].[Media Rendimiento]" caption="Media Rendimiento" attribute="1" defaultMemberUniqueName="[EstadisticasJugadores 1].[Media Rendimiento].[All]" allUniqueName="[EstadisticasJugadores 1].[Media Rendimiento].[All]" dimensionUniqueName="[EstadisticasJugadores 1]" displayFolder="" count="0" memberValueDatatype="5" unbalanced="0"/>
    <cacheHierarchy uniqueName="[EstadisticasJugadores 1].[Valoración Final]" caption="Valoración Final" attribute="1" defaultMemberUniqueName="[EstadisticasJugadores 1].[Valoración Final].[All]" allUniqueName="[EstadisticasJugadores 1].[Valoración Final].[All]" dimensionUniqueName="[EstadisticasJugadores 1]" displayFolder="" count="0" memberValueDatatype="20" unbalanced="0"/>
    <cacheHierarchy uniqueName="[EstadisticasJugadores 1].[Valoración Inicio]" caption="Valoración Inicio" attribute="1" defaultMemberUniqueName="[EstadisticasJugadores 1].[Valoración Inicio].[All]" allUniqueName="[EstadisticasJugadores 1].[Valoración Inicio].[All]" dimensionUniqueName="[EstadisticasJugadores 1]" displayFolder="" count="0" memberValueDatatype="20" unbalanced="0"/>
    <cacheHierarchy uniqueName="[EstadisticasJugadores 1].[Cambio valoración]" caption="Cambio valoración" attribute="1" defaultMemberUniqueName="[EstadisticasJugadores 1].[Cambio valoración].[All]" allUniqueName="[EstadisticasJugadores 1].[Cambio valoración].[All]" dimensionUniqueName="[EstadisticasJugadores 1]" displayFolder="" count="0" memberValueDatatype="20" unbalanced="0"/>
    <cacheHierarchy uniqueName="[EstadisticasJugadores 1].[Valor mercado Final]" caption="Valor mercado Final" attribute="1" defaultMemberUniqueName="[EstadisticasJugadores 1].[Valor mercado Final].[All]" allUniqueName="[EstadisticasJugadores 1].[Valor mercado Final].[All]" dimensionUniqueName="[EstadisticasJugadores 1]" displayFolder="" count="0" memberValueDatatype="5" unbalanced="0"/>
    <cacheHierarchy uniqueName="[EstadisticasJugadores 1].[Partidos jugados]" caption="Partidos jugados" attribute="1" defaultMemberUniqueName="[EstadisticasJugadores 1].[Partidos jugados].[All]" allUniqueName="[EstadisticasJugadores 1].[Partidos jugados].[All]" dimensionUniqueName="[EstadisticasJugadores 1]" displayFolder="" count="0" memberValueDatatype="20" unbalanced="0"/>
    <cacheHierarchy uniqueName="[Fichajes 1].[Temporada]" caption="Temporada" attribute="1" defaultMemberUniqueName="[Fichajes 1].[Temporada].[All]" allUniqueName="[Fichajes 1].[Temporada].[All]" dimensionUniqueName="[Fichajes 1]" displayFolder="" count="2" memberValueDatatype="130" unbalanced="0"/>
    <cacheHierarchy uniqueName="[Fichajes 1].[Edad]" caption="Edad" attribute="1" defaultMemberUniqueName="[Fichajes 1].[Edad].[All]" allUniqueName="[Fichajes 1].[Edad].[All]" dimensionUniqueName="[Fichajes 1]" displayFolder="" count="0" memberValueDatatype="130" unbalanced="0"/>
    <cacheHierarchy uniqueName="[Fichajes 1].[Nombre]" caption="Nombre" attribute="1" defaultMemberUniqueName="[Fichajes 1].[Nombre].[All]" allUniqueName="[Fichajes 1].[Nombre].[All]" dimensionUniqueName="[Fichajes 1]" displayFolder="" count="0" memberValueDatatype="130" unbalanced="0"/>
    <cacheHierarchy uniqueName="[Fichajes 1].[Nacionalidad]" caption="Nacionalidad" attribute="1" defaultMemberUniqueName="[Fichajes 1].[Nacionalidad].[All]" allUniqueName="[Fichajes 1].[Nacionalidad].[All]" dimensionUniqueName="[Fichajes 1]" displayFolder="" count="0" memberValueDatatype="130" unbalanced="0"/>
    <cacheHierarchy uniqueName="[Fichajes 1].[Posición]" caption="Posición" attribute="1" defaultMemberUniqueName="[Fichajes 1].[Posición].[All]" allUniqueName="[Fichajes 1].[Posición].[All]" dimensionUniqueName="[Fichajes 1]" displayFolder="" count="2" memberValueDatatype="130" unbalanced="0"/>
    <cacheHierarchy uniqueName="[Fichajes 1].[Pierna habil]" caption="Pierna habil" attribute="1" defaultMemberUniqueName="[Fichajes 1].[Pierna habil].[All]" allUniqueName="[Fichajes 1].[Pierna habil].[All]" dimensionUniqueName="[Fichajes 1]" displayFolder="" count="2" memberValueDatatype="130" unbalanced="0"/>
    <cacheHierarchy uniqueName="[Fichajes 1].[Valor de mercado]" caption="Valor de mercado" attribute="1" defaultMemberUniqueName="[Fichajes 1].[Valor de mercado].[All]" allUniqueName="[Fichajes 1].[Valor de mercado].[All]" dimensionUniqueName="[Fichajes 1]" displayFolder="" count="0" memberValueDatatype="5" unbalanced="0"/>
    <cacheHierarchy uniqueName="[Fichajes 1].[Precio fichaje]" caption="Precio fichaje" attribute="1" defaultMemberUniqueName="[Fichajes 1].[Precio fichaje].[All]" allUniqueName="[Fichajes 1].[Precio fichaje].[All]" dimensionUniqueName="[Fichajes 1]" displayFolder="" count="0" memberValueDatatype="5" unbalanced="0"/>
    <cacheHierarchy uniqueName="[Fichajes 1].[Balance obtenido]" caption="Balance obtenido" attribute="1" defaultMemberUniqueName="[Fichajes 1].[Balance obtenido].[All]" allUniqueName="[Fichajes 1].[Balance obtenido].[All]" dimensionUniqueName="[Fichajes 1]" displayFolder="" count="0" memberValueDatatype="5" unbalanced="0"/>
    <cacheHierarchy uniqueName="[Fichajes 1].[Precio Venta]" caption="Precio Venta" attribute="1" defaultMemberUniqueName="[Fichajes 1].[Precio Venta].[All]" allUniqueName="[Fichajes 1].[Precio Venta].[All]" dimensionUniqueName="[Fichajes 1]" displayFolder="" count="0" memberValueDatatype="5" unbalanced="0"/>
    <cacheHierarchy uniqueName="[Fichajes 1].[Balance Venta]" caption="Balance Venta" attribute="1" defaultMemberUniqueName="[Fichajes 1].[Balance Venta].[All]" allUniqueName="[Fichajes 1].[Balance Venta].[All]" dimensionUniqueName="[Fichajes 1]" displayFolder="" count="0" memberValueDatatype="5" unbalanced="0"/>
    <cacheHierarchy uniqueName="[Fichajes 1].[Sueldo ofrecido]" caption="Sueldo ofrecido" attribute="1" defaultMemberUniqueName="[Fichajes 1].[Sueldo ofrecido].[All]" allUniqueName="[Fichajes 1].[Sueldo ofrecido].[All]" dimensionUniqueName="[Fichajes 1]" displayFolder="" count="0" memberValueDatatype="5" unbalanced="0"/>
    <cacheHierarchy uniqueName="[Fichajes 1].[Años contrato]" caption="Años contrato" attribute="1" defaultMemberUniqueName="[Fichajes 1].[Años contrato].[All]" allUniqueName="[Fichajes 1].[Años contrato].[All]" dimensionUniqueName="[Fichajes 1]" displayFolder="" count="0" memberValueDatatype="130" unbalanced="0"/>
    <cacheHierarchy uniqueName="[Fichajes 1].[Rol]" caption="Rol" attribute="1" defaultMemberUniqueName="[Fichajes 1].[Rol].[All]" allUniqueName="[Fichajes 1].[Rol].[All]" dimensionUniqueName="[Fichajes 1]" displayFolder="" count="2" memberValueDatatype="130" unbalanced="0"/>
    <cacheHierarchy uniqueName="[Fichajes 1].[Equipo procedencia]" caption="Equipo procedencia" attribute="1" defaultMemberUniqueName="[Fichajes 1].[Equipo procedencia].[All]" allUniqueName="[Fichajes 1].[Equipo procedencia].[All]" dimensionUniqueName="[Fichajes 1]" displayFolder="" count="0" memberValueDatatype="130" unbalanced="0"/>
    <cacheHierarchy uniqueName="[Tabla1].[Temporadas]" caption="Temporadas" attribute="1" defaultMemberUniqueName="[Tabla1].[Temporadas].[All]" allUniqueName="[Tabla1].[Temporadas].[All]" dimensionUniqueName="[Tabla1]" displayFolder="" count="0" memberValueDatatype="130" unbalanced="0"/>
    <cacheHierarchy uniqueName="[Ventas].[Temporada]" caption="Temporada" attribute="1" defaultMemberUniqueName="[Ventas].[Temporada].[All]" allUniqueName="[Ventas].[Temporada].[All]" dimensionUniqueName="[Ventas]" displayFolder="" count="0" memberValueDatatype="130" unbalanced="0"/>
    <cacheHierarchy uniqueName="[Ventas].[Nombre]" caption="Nombre" attribute="1" defaultMemberUniqueName="[Ventas].[Nombre].[All]" allUniqueName="[Ventas].[Nombre].[All]" dimensionUniqueName="[Ventas]" displayFolder="" count="0" memberValueDatatype="13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 1].[Temporada]" caption="Temporada" attribute="1" defaultMemberUniqueName="[Ventas 1].[Temporada].[All]" allUniqueName="[Ventas 1].[Temporada].[All]" dimensionUniqueName="[Ventas 1]" displayFolder="" count="0" memberValueDatatype="130" unbalanced="0"/>
    <cacheHierarchy uniqueName="[Ventas 1].[Nombre]" caption="Nombre" attribute="1" defaultMemberUniqueName="[Ventas 1].[Nombre].[All]" allUniqueName="[Ventas 1].[Nombre].[All]" dimensionUniqueName="[Ventas 1]" displayFolder="" count="0" memberValueDatatype="130" unbalanced="0"/>
    <cacheHierarchy uniqueName="[Ventas 1].[Precio]" caption="Precio" attribute="1" defaultMemberUniqueName="[Ventas 1].[Precio].[All]" allUniqueName="[Ventas 1].[Precio].[All]" dimensionUniqueName="[Ventas 1]" displayFolder="" count="0" memberValueDatatype="5" unbalanced="0"/>
    <cacheHierarchy uniqueName="[Measures].[__XL_Count Ventas]" caption="__XL_Count Ventas" measure="1" displayFolder="" measureGroup="Ventas" count="0" hidden="1"/>
    <cacheHierarchy uniqueName="[Measures].[__XL_Count EstadisticasJugadores 1]" caption="__XL_Count EstadisticasJugadores 1" measure="1" displayFolder="" measureGroup="EstadisticasJugadores 1" count="0" hidden="1"/>
    <cacheHierarchy uniqueName="[Measures].[__XL_Count Fichajes 1]" caption="__XL_Count Fichajes 1" measure="1" displayFolder="" measureGroup="Fichajes 1" count="0" hidden="1"/>
    <cacheHierarchy uniqueName="[Measures].[__XL_Count Ventas 1]" caption="__XL_Count Ventas 1" measure="1" displayFolder="" measureGroup="Ventas 1" count="0" hidden="1"/>
    <cacheHierarchy uniqueName="[Measures].[__XL_Count AllPlayersList]" caption="__XL_Count AllPlayersList" measure="1" displayFolder="" measureGroup="AllPlayersList" count="0" hidden="1"/>
    <cacheHierarchy uniqueName="[Measures].[__XL_Count Tabla1]" caption="__XL_Count Tabla1" measure="1" displayFolder="" measureGroup="Tabla1" count="0" hidden="1"/>
    <cacheHierarchy uniqueName="[Measures].[__No measures defined]" caption="__No measures defined" measure="1" displayFolder="" count="0" hidden="1"/>
    <cacheHierarchy uniqueName="[Measures].[Suma de Precio]" caption="Suma de Precio" measure="1" displayFolder="" measureGroup="Vent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mbio valoración]" caption="Recuento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ambio valoración]" caption="Suma de Cambio valoración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Goles]" caption="Suma de Gole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Nombre]" caption="Recuento de Nombre" measure="1" displayFolder="" measureGroup="Fichajes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Asistencias]" caption="Suma de Asistencia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Valor mercado Final]" caption="Suma de Valor mercado Final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rtidos jugados]" caption="Suma de Partidos jugados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Precio 2]" caption="Suma de Precio 2" measure="1" displayFolder="" measureGroup="Ventas 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Valor de mercado]" caption="Suma de Valor de mercado" measure="1" displayFolder="" measureGroup="Fichajes 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a de Precio fichaje]" caption="Suma de Precio fichaje" measure="1" displayFolder="" measureGroup="Fichajes 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a de Balance obtenido]" caption="Suma de Balance obtenido" measure="1" displayFolder="" measureGroup="Fichajes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Media Rendimiento]" caption="Suma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Media Rendimiento]" caption="Promedio de Media Rendimiento" measure="1" displayFolder="" measureGroup="EstadisticasJugadores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13944011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n v="1"/>
    <n v="3"/>
    <n v="1"/>
    <n v="0"/>
    <n v="3"/>
    <n v="6.21"/>
    <n v="75"/>
    <n v="75"/>
    <n v="7500000"/>
    <n v="12"/>
  </r>
  <r>
    <x v="0"/>
    <x v="1"/>
    <n v="9"/>
    <n v="7"/>
    <n v="2"/>
    <n v="1"/>
    <n v="11"/>
    <n v="7.06"/>
    <n v="78"/>
    <n v="76"/>
    <n v="11500000"/>
    <n v="25"/>
  </r>
  <r>
    <x v="0"/>
    <x v="2"/>
    <n v="14"/>
    <n v="11"/>
    <n v="1"/>
    <n v="0"/>
    <n v="16"/>
    <n v="7.15"/>
    <n v="76"/>
    <n v="71"/>
    <n v="3000000"/>
    <n v="36"/>
  </r>
  <r>
    <x v="0"/>
    <x v="3"/>
    <n v="5"/>
    <n v="10"/>
    <n v="2"/>
    <n v="0"/>
    <n v="13"/>
    <n v="6.94"/>
    <n v="74"/>
    <n v="69"/>
    <n v="3400000"/>
    <n v="32"/>
  </r>
  <r>
    <x v="0"/>
    <x v="4"/>
    <n v="11"/>
    <n v="2"/>
    <n v="1"/>
    <n v="0"/>
    <n v="11"/>
    <n v="7.02"/>
    <n v="72"/>
    <n v="70"/>
    <n v="3600000"/>
    <n v="21"/>
  </r>
  <r>
    <x v="0"/>
    <x v="5"/>
    <n v="4"/>
    <n v="2"/>
    <n v="2"/>
    <n v="0"/>
    <n v="3"/>
    <n v="6.31"/>
    <n v="78"/>
    <n v="74"/>
    <n v="10000000"/>
    <n v="16"/>
  </r>
  <r>
    <x v="0"/>
    <x v="6"/>
    <n v="0"/>
    <n v="1"/>
    <n v="0"/>
    <n v="0"/>
    <n v="18"/>
    <n v="6.72"/>
    <n v="73"/>
    <n v="69"/>
    <n v="3500000"/>
    <n v="43"/>
  </r>
  <r>
    <x v="0"/>
    <x v="7"/>
    <n v="2"/>
    <n v="1"/>
    <n v="3"/>
    <n v="1"/>
    <n v="16"/>
    <n v="7.1"/>
    <n v="74"/>
    <n v="69"/>
    <n v="3500000"/>
    <n v="39"/>
  </r>
  <r>
    <x v="0"/>
    <x v="8"/>
    <n v="18"/>
    <n v="4"/>
    <n v="1"/>
    <n v="1"/>
    <n v="17"/>
    <n v="7.56"/>
    <n v="80"/>
    <n v="74"/>
    <n v="9000000"/>
    <n v="41"/>
  </r>
  <r>
    <x v="0"/>
    <x v="9"/>
    <n v="2"/>
    <n v="0"/>
    <n v="2"/>
    <n v="1"/>
    <n v="11"/>
    <n v="6.29"/>
    <n v="73"/>
    <n v="69"/>
    <n v="3100000"/>
    <n v="23"/>
  </r>
  <r>
    <x v="0"/>
    <x v="10"/>
    <n v="1"/>
    <n v="1"/>
    <n v="1"/>
    <n v="0"/>
    <n v="9"/>
    <n v="6.39"/>
    <n v="74"/>
    <n v="72"/>
    <n v="2300000"/>
    <n v="19"/>
  </r>
  <r>
    <x v="0"/>
    <x v="11"/>
    <n v="1"/>
    <n v="2"/>
    <n v="1"/>
    <n v="0"/>
    <n v="13"/>
    <n v="6.61"/>
    <n v="75"/>
    <n v="74"/>
    <n v="9000000"/>
    <n v="32"/>
  </r>
  <r>
    <x v="0"/>
    <x v="12"/>
    <n v="2"/>
    <n v="3"/>
    <n v="1"/>
    <n v="0"/>
    <n v="14"/>
    <n v="6.74"/>
    <n v="75"/>
    <n v="71"/>
    <n v="3900000"/>
    <n v="36"/>
  </r>
  <r>
    <x v="0"/>
    <x v="13"/>
    <n v="1"/>
    <n v="0"/>
    <n v="2"/>
    <n v="0"/>
    <n v="17"/>
    <n v="6.89"/>
    <n v="75"/>
    <n v="71"/>
    <n v="4100000"/>
    <n v="39"/>
  </r>
  <r>
    <x v="0"/>
    <x v="14"/>
    <n v="1"/>
    <n v="0"/>
    <n v="1"/>
    <n v="1"/>
    <n v="16"/>
    <n v="6.67"/>
    <n v="71"/>
    <n v="68"/>
    <n v="3600000"/>
    <n v="37"/>
  </r>
  <r>
    <x v="0"/>
    <x v="15"/>
    <n v="3"/>
    <n v="2"/>
    <n v="0"/>
    <n v="0"/>
    <n v="4"/>
    <n v="6.28"/>
    <n v="79"/>
    <n v="79"/>
    <n v="17000000"/>
    <n v="11"/>
  </r>
  <r>
    <x v="0"/>
    <x v="16"/>
    <n v="0"/>
    <n v="2"/>
    <n v="1"/>
    <n v="0"/>
    <n v="10"/>
    <n v="6.38"/>
    <n v="71"/>
    <n v="68"/>
    <n v="2700000"/>
    <n v="25"/>
  </r>
  <r>
    <x v="0"/>
    <x v="17"/>
    <n v="0"/>
    <n v="0"/>
    <n v="2"/>
    <n v="0"/>
    <n v="13"/>
    <n v="6.41"/>
    <n v="73"/>
    <n v="70"/>
    <n v="3500000"/>
    <n v="22"/>
  </r>
  <r>
    <x v="0"/>
    <x v="18"/>
    <n v="3"/>
    <n v="1"/>
    <n v="0"/>
    <n v="0"/>
    <n v="10"/>
    <n v="6.52"/>
    <n v="80"/>
    <n v="80"/>
    <n v="17500000"/>
    <n v="21"/>
  </r>
  <r>
    <x v="0"/>
    <x v="19"/>
    <n v="1"/>
    <n v="1"/>
    <n v="0"/>
    <n v="0"/>
    <n v="8"/>
    <n v="6.35"/>
    <n v="73"/>
    <n v="69"/>
    <n v="3000000"/>
    <n v="17"/>
  </r>
  <r>
    <x v="0"/>
    <x v="20"/>
    <n v="0"/>
    <n v="0"/>
    <n v="1"/>
    <n v="0"/>
    <n v="5"/>
    <n v="6.25"/>
    <n v="71"/>
    <n v="71"/>
    <n v="1500000"/>
    <n v="7"/>
  </r>
  <r>
    <x v="0"/>
    <x v="21"/>
    <n v="1"/>
    <n v="1"/>
    <n v="1"/>
    <n v="0"/>
    <n v="7"/>
    <n v="6.38"/>
    <n v="75"/>
    <n v="67"/>
    <n v="1300000"/>
    <n v="17"/>
  </r>
  <r>
    <x v="1"/>
    <x v="0"/>
    <n v="0"/>
    <n v="4"/>
    <n v="1"/>
    <n v="0"/>
    <n v="0"/>
    <n v="6.12"/>
    <n v="76"/>
    <n v="75"/>
    <n v="8000000"/>
    <n v="15"/>
  </r>
  <r>
    <x v="1"/>
    <x v="8"/>
    <n v="21"/>
    <n v="9"/>
    <n v="0"/>
    <n v="0"/>
    <n v="4"/>
    <n v="7.12"/>
    <n v="85"/>
    <n v="80"/>
    <n v="133500000"/>
    <n v="32"/>
  </r>
  <r>
    <x v="1"/>
    <x v="2"/>
    <n v="15"/>
    <n v="10"/>
    <n v="0"/>
    <n v="1"/>
    <n v="6"/>
    <n v="6.75"/>
    <n v="80"/>
    <n v="76"/>
    <n v="24000000"/>
    <n v="33"/>
  </r>
  <r>
    <x v="1"/>
    <x v="1"/>
    <n v="8"/>
    <n v="6"/>
    <n v="2"/>
    <n v="0"/>
    <n v="8"/>
    <n v="6.44"/>
    <n v="79"/>
    <n v="78"/>
    <n v="19000000"/>
    <n v="38"/>
  </r>
  <r>
    <x v="1"/>
    <x v="3"/>
    <n v="4"/>
    <n v="10"/>
    <n v="0"/>
    <n v="0"/>
    <n v="5"/>
    <n v="6.27"/>
    <n v="78"/>
    <n v="74"/>
    <n v="20000000"/>
    <n v="31"/>
  </r>
  <r>
    <x v="1"/>
    <x v="4"/>
    <n v="15"/>
    <n v="6"/>
    <n v="1"/>
    <n v="0"/>
    <n v="3"/>
    <n v="6.79"/>
    <n v="78"/>
    <n v="72"/>
    <n v="19500000"/>
    <n v="33"/>
  </r>
  <r>
    <x v="1"/>
    <x v="5"/>
    <n v="7"/>
    <n v="4"/>
    <n v="0"/>
    <n v="1"/>
    <n v="2"/>
    <n v="7.16"/>
    <n v="81"/>
    <n v="78"/>
    <n v="57000000"/>
    <n v="10"/>
  </r>
  <r>
    <x v="1"/>
    <x v="9"/>
    <n v="0"/>
    <n v="2"/>
    <n v="0"/>
    <n v="0"/>
    <n v="2"/>
    <n v="6.15"/>
    <n v="76"/>
    <n v="73"/>
    <n v="9000000"/>
    <n v="26"/>
  </r>
  <r>
    <x v="1"/>
    <x v="10"/>
    <n v="1"/>
    <n v="3"/>
    <n v="0"/>
    <n v="0"/>
    <n v="3"/>
    <n v="6.37"/>
    <n v="76"/>
    <n v="74"/>
    <n v="6500000"/>
    <n v="26"/>
  </r>
  <r>
    <x v="1"/>
    <x v="6"/>
    <n v="0"/>
    <n v="0"/>
    <n v="0"/>
    <n v="0"/>
    <n v="7"/>
    <n v="6.48"/>
    <n v="78"/>
    <n v="73"/>
    <n v="41000000"/>
    <n v="40"/>
  </r>
  <r>
    <x v="1"/>
    <x v="11"/>
    <n v="3"/>
    <n v="2"/>
    <n v="1"/>
    <n v="0"/>
    <n v="6"/>
    <n v="6.65"/>
    <n v="81"/>
    <n v="75"/>
    <n v="27500000"/>
    <n v="37"/>
  </r>
  <r>
    <x v="1"/>
    <x v="12"/>
    <n v="2"/>
    <n v="3"/>
    <n v="3"/>
    <n v="0"/>
    <n v="4"/>
    <n v="6.69"/>
    <n v="80"/>
    <n v="75"/>
    <n v="22500000"/>
    <n v="36"/>
  </r>
  <r>
    <x v="1"/>
    <x v="7"/>
    <n v="1"/>
    <n v="0"/>
    <n v="2"/>
    <n v="0"/>
    <n v="5"/>
    <n v="6.58"/>
    <n v="79"/>
    <n v="74"/>
    <n v="68000000"/>
    <n v="35"/>
  </r>
  <r>
    <x v="1"/>
    <x v="13"/>
    <n v="0"/>
    <n v="1"/>
    <n v="3"/>
    <n v="0"/>
    <n v="6"/>
    <n v="6.48"/>
    <n v="79"/>
    <n v="75"/>
    <n v="36000000"/>
    <n v="32"/>
  </r>
  <r>
    <x v="1"/>
    <x v="14"/>
    <n v="0"/>
    <n v="0"/>
    <n v="1"/>
    <n v="0"/>
    <n v="3"/>
    <n v="6.35"/>
    <n v="75"/>
    <n v="71"/>
    <n v="10500000"/>
    <n v="28"/>
  </r>
  <r>
    <x v="1"/>
    <x v="15"/>
    <n v="4"/>
    <n v="2"/>
    <n v="0"/>
    <n v="0"/>
    <n v="2"/>
    <n v="6.57"/>
    <n v="80"/>
    <n v="79"/>
    <n v="16500000"/>
    <n v="19"/>
  </r>
  <r>
    <x v="1"/>
    <x v="16"/>
    <n v="0"/>
    <n v="0"/>
    <n v="0"/>
    <n v="0"/>
    <n v="2"/>
    <n v="6.32"/>
    <n v="75"/>
    <n v="71"/>
    <n v="7000000"/>
    <n v="18"/>
  </r>
  <r>
    <x v="1"/>
    <x v="17"/>
    <n v="0"/>
    <n v="0"/>
    <n v="1"/>
    <n v="0"/>
    <n v="2"/>
    <n v="6.34"/>
    <n v="74"/>
    <n v="73"/>
    <n v="8500000"/>
    <n v="17"/>
  </r>
  <r>
    <x v="1"/>
    <x v="18"/>
    <n v="2"/>
    <n v="1"/>
    <n v="0"/>
    <n v="0"/>
    <n v="2"/>
    <n v="6.48"/>
    <n v="78"/>
    <n v="80"/>
    <n v="10500000"/>
    <n v="13"/>
  </r>
  <r>
    <x v="1"/>
    <x v="19"/>
    <n v="0"/>
    <n v="0"/>
    <n v="0"/>
    <n v="0"/>
    <n v="2"/>
    <n v="6.62"/>
    <n v="76"/>
    <n v="73"/>
    <n v="9000000"/>
    <n v="12"/>
  </r>
  <r>
    <x v="1"/>
    <x v="20"/>
    <n v="0"/>
    <n v="0"/>
    <n v="0"/>
    <n v="0"/>
    <n v="2"/>
    <n v="6.23"/>
    <n v="72"/>
    <n v="71"/>
    <n v="1500000"/>
    <n v="10"/>
  </r>
  <r>
    <x v="1"/>
    <x v="21"/>
    <n v="0"/>
    <n v="0"/>
    <n v="0"/>
    <n v="0"/>
    <n v="2"/>
    <n v="6"/>
    <n v="71"/>
    <n v="69"/>
    <n v="1800000"/>
    <n v="9"/>
  </r>
  <r>
    <x v="1"/>
    <x v="22"/>
    <n v="0"/>
    <n v="0"/>
    <n v="0"/>
    <n v="0"/>
    <n v="2"/>
    <n v="6.63"/>
    <n v="68"/>
    <n v="65"/>
    <n v="4600000"/>
    <n v="6"/>
  </r>
  <r>
    <x v="1"/>
    <x v="23"/>
    <n v="1"/>
    <n v="0"/>
    <n v="0"/>
    <n v="0"/>
    <n v="1"/>
    <n v="6.07"/>
    <n v="68"/>
    <n v="68"/>
    <n v="3800000"/>
    <n v="6"/>
  </r>
  <r>
    <x v="2"/>
    <x v="6"/>
    <n v="0"/>
    <n v="0"/>
    <n v="0"/>
    <n v="0"/>
    <n v="7"/>
    <n v="6.51"/>
    <n v="83"/>
    <n v="78"/>
    <s v="84.500.000 €"/>
    <n v="50"/>
  </r>
  <r>
    <x v="2"/>
    <x v="8"/>
    <n v="30"/>
    <n v="13"/>
    <n v="2"/>
    <n v="0"/>
    <n v="8"/>
    <n v="7.09"/>
    <n v="91"/>
    <n v="86"/>
    <s v="297.000.000 €"/>
    <n v="46"/>
  </r>
  <r>
    <x v="2"/>
    <x v="2"/>
    <n v="19"/>
    <n v="15"/>
    <n v="2"/>
    <n v="0"/>
    <n v="6"/>
    <n v="6.91"/>
    <n v="82"/>
    <n v="80"/>
    <s v="34.000.000 €"/>
    <n v="45"/>
  </r>
  <r>
    <x v="2"/>
    <x v="24"/>
    <n v="3"/>
    <n v="3"/>
    <n v="6"/>
    <n v="0"/>
    <n v="11"/>
    <n v="6.37"/>
    <n v="86"/>
    <n v="86"/>
    <s v="68.500.000 €"/>
    <n v="44"/>
  </r>
  <r>
    <x v="2"/>
    <x v="7"/>
    <n v="0"/>
    <n v="1"/>
    <n v="1"/>
    <n v="1"/>
    <n v="6"/>
    <n v="6.61"/>
    <n v="84"/>
    <n v="79"/>
    <s v="97.500.000 €"/>
    <n v="43"/>
  </r>
  <r>
    <x v="2"/>
    <x v="23"/>
    <n v="12"/>
    <n v="11"/>
    <n v="0"/>
    <n v="0"/>
    <n v="6"/>
    <n v="6.35"/>
    <n v="73"/>
    <n v="69"/>
    <s v="8.500.000 €"/>
    <n v="43"/>
  </r>
  <r>
    <x v="2"/>
    <x v="1"/>
    <n v="6"/>
    <n v="7"/>
    <n v="3"/>
    <n v="0"/>
    <n v="4"/>
    <n v="6.23"/>
    <n v="80"/>
    <n v="79"/>
    <s v="22.500.000 €"/>
    <n v="42"/>
  </r>
  <r>
    <x v="2"/>
    <x v="25"/>
    <n v="4"/>
    <n v="6"/>
    <n v="2"/>
    <n v="2"/>
    <n v="7"/>
    <n v="6.52"/>
    <n v="85"/>
    <n v="82"/>
    <s v="63.000.000 €"/>
    <n v="41"/>
  </r>
  <r>
    <x v="2"/>
    <x v="26"/>
    <n v="6"/>
    <n v="6"/>
    <n v="1"/>
    <n v="0"/>
    <n v="6"/>
    <n v="6.38"/>
    <n v="82"/>
    <n v="80"/>
    <s v="68.000.000 €"/>
    <n v="41"/>
  </r>
  <r>
    <x v="2"/>
    <x v="13"/>
    <n v="2"/>
    <n v="0"/>
    <n v="3"/>
    <n v="0"/>
    <n v="8"/>
    <n v="6.53"/>
    <n v="83"/>
    <n v="80"/>
    <s v="53.000.000 €"/>
    <n v="39"/>
  </r>
  <r>
    <x v="2"/>
    <x v="12"/>
    <n v="2"/>
    <n v="5"/>
    <n v="2"/>
    <n v="0"/>
    <n v="5"/>
    <n v="6.88"/>
    <n v="81"/>
    <n v="80"/>
    <s v="27.000.000 €"/>
    <n v="38"/>
  </r>
  <r>
    <x v="2"/>
    <x v="17"/>
    <n v="0"/>
    <n v="0"/>
    <n v="2"/>
    <n v="0"/>
    <n v="7"/>
    <n v="6.44"/>
    <n v="78"/>
    <n v="74"/>
    <s v="19.500.000 €"/>
    <n v="36"/>
  </r>
  <r>
    <x v="2"/>
    <x v="4"/>
    <n v="17"/>
    <n v="7"/>
    <n v="0"/>
    <n v="0"/>
    <n v="3"/>
    <n v="6.73"/>
    <n v="81"/>
    <n v="78"/>
    <s v="32.500.000 €"/>
    <n v="35"/>
  </r>
  <r>
    <x v="2"/>
    <x v="27"/>
    <n v="2"/>
    <n v="6"/>
    <n v="1"/>
    <n v="0"/>
    <n v="3"/>
    <n v="6.35"/>
    <n v="81"/>
    <n v="80"/>
    <s v="21.500.000 €"/>
    <n v="35"/>
  </r>
  <r>
    <x v="2"/>
    <x v="28"/>
    <n v="3"/>
    <n v="3"/>
    <n v="0"/>
    <n v="0"/>
    <n v="3"/>
    <n v="6.89"/>
    <n v="84"/>
    <n v="81"/>
    <s v="57.000.000 €"/>
    <n v="33"/>
  </r>
  <r>
    <x v="2"/>
    <x v="16"/>
    <n v="0"/>
    <n v="4"/>
    <n v="2"/>
    <n v="0"/>
    <n v="5"/>
    <n v="6.91"/>
    <n v="76"/>
    <n v="75"/>
    <s v="8.000.000 €"/>
    <n v="28"/>
  </r>
  <r>
    <x v="2"/>
    <x v="3"/>
    <n v="2"/>
    <n v="4"/>
    <n v="0"/>
    <n v="0"/>
    <n v="1"/>
    <n v="6.05"/>
    <n v="82"/>
    <n v="78"/>
    <s v="35.000.000 €"/>
    <n v="28"/>
  </r>
  <r>
    <x v="2"/>
    <x v="29"/>
    <n v="0"/>
    <n v="2"/>
    <n v="1"/>
    <n v="0"/>
    <n v="2"/>
    <n v="6.43"/>
    <n v="77"/>
    <n v="73"/>
    <s v="23.500.000 €"/>
    <n v="26"/>
  </r>
  <r>
    <x v="2"/>
    <x v="19"/>
    <n v="1"/>
    <n v="2"/>
    <n v="0"/>
    <n v="0"/>
    <n v="4"/>
    <n v="6.67"/>
    <n v="77"/>
    <n v="76"/>
    <s v="10.500.000 €"/>
    <n v="26"/>
  </r>
  <r>
    <x v="2"/>
    <x v="14"/>
    <n v="0"/>
    <n v="2"/>
    <n v="4"/>
    <n v="0"/>
    <n v="2"/>
    <n v="6.39"/>
    <n v="78"/>
    <n v="75"/>
    <s v="14.000.000 €"/>
    <n v="25"/>
  </r>
  <r>
    <x v="2"/>
    <x v="30"/>
    <n v="7"/>
    <n v="4"/>
    <n v="1"/>
    <n v="0"/>
    <n v="2"/>
    <n v="6.64"/>
    <n v="78"/>
    <n v="75"/>
    <s v="16.000.000 €"/>
    <n v="18"/>
  </r>
  <r>
    <x v="2"/>
    <x v="31"/>
    <n v="0"/>
    <n v="1"/>
    <n v="0"/>
    <n v="1"/>
    <n v="1"/>
    <n v="6.16"/>
    <n v="68"/>
    <n v="63"/>
    <s v="3.600.000 €"/>
    <n v="9"/>
  </r>
  <r>
    <x v="2"/>
    <x v="32"/>
    <n v="1"/>
    <n v="0"/>
    <n v="1"/>
    <n v="0"/>
    <n v="0"/>
    <n v="6.57"/>
    <n v="75"/>
    <n v="75"/>
    <s v="3.900.000 €"/>
    <n v="3"/>
  </r>
  <r>
    <x v="3"/>
    <x v="24"/>
    <n v="2"/>
    <n v="7"/>
    <n v="0"/>
    <n v="0"/>
    <n v="3"/>
    <n v="6.4"/>
    <n v="87"/>
    <n v="86"/>
    <s v="77.500.000 €"/>
    <n v="23"/>
  </r>
  <r>
    <x v="3"/>
    <x v="16"/>
    <n v="0"/>
    <n v="2"/>
    <n v="0"/>
    <n v="0"/>
    <n v="3"/>
    <n v="6.66"/>
    <n v="77"/>
    <n v="76"/>
    <s v="11.000.000 €"/>
    <n v="14"/>
  </r>
  <r>
    <x v="3"/>
    <x v="30"/>
    <n v="5"/>
    <n v="2"/>
    <n v="1"/>
    <n v="0"/>
    <n v="3"/>
    <n v="6.4"/>
    <n v="78"/>
    <n v="78"/>
    <s v="17.000.000 €"/>
    <n v="16"/>
  </r>
  <r>
    <x v="3"/>
    <x v="6"/>
    <n v="0"/>
    <n v="0"/>
    <n v="0"/>
    <n v="0"/>
    <n v="19"/>
    <n v="6.97"/>
    <n v="87"/>
    <n v="83"/>
    <s v="172.000.000 €"/>
    <n v="52"/>
  </r>
  <r>
    <x v="3"/>
    <x v="25"/>
    <n v="9"/>
    <n v="7"/>
    <n v="2"/>
    <n v="0"/>
    <n v="17"/>
    <n v="7.02"/>
    <n v="87"/>
    <n v="85"/>
    <s v="78.000.000 €"/>
    <n v="51"/>
  </r>
  <r>
    <x v="3"/>
    <x v="8"/>
    <n v="29"/>
    <n v="5"/>
    <n v="0"/>
    <n v="0"/>
    <n v="19"/>
    <n v="7.23"/>
    <n v="95"/>
    <n v="91"/>
    <s v="289.000.000 €"/>
    <n v="50"/>
  </r>
  <r>
    <x v="3"/>
    <x v="7"/>
    <n v="1"/>
    <n v="2"/>
    <n v="2"/>
    <n v="1"/>
    <n v="14"/>
    <n v="6.77"/>
    <n v="89"/>
    <n v="84"/>
    <s v="214.000.000 €"/>
    <n v="47"/>
  </r>
  <r>
    <x v="3"/>
    <x v="33"/>
    <n v="2"/>
    <n v="5"/>
    <n v="2"/>
    <n v="0"/>
    <n v="18"/>
    <n v="6.91"/>
    <n v="85"/>
    <n v="83"/>
    <s v="54.500.000 €"/>
    <n v="45"/>
  </r>
  <r>
    <x v="3"/>
    <x v="34"/>
    <n v="7"/>
    <n v="10"/>
    <n v="2"/>
    <n v="0"/>
    <n v="16"/>
    <n v="6.65"/>
    <n v="86"/>
    <n v="84"/>
    <s v="78.500.000 €"/>
    <n v="44"/>
  </r>
  <r>
    <x v="3"/>
    <x v="13"/>
    <n v="0"/>
    <n v="2"/>
    <n v="4"/>
    <n v="0"/>
    <n v="19"/>
    <n v="6.72"/>
    <n v="87"/>
    <n v="84"/>
    <s v="94.000.000 €"/>
    <n v="43"/>
  </r>
  <r>
    <x v="3"/>
    <x v="17"/>
    <n v="1"/>
    <n v="0"/>
    <n v="1"/>
    <n v="0"/>
    <n v="8"/>
    <n v="6.57"/>
    <n v="82"/>
    <n v="79"/>
    <s v="34.000.000 €"/>
    <n v="39"/>
  </r>
  <r>
    <x v="3"/>
    <x v="28"/>
    <n v="1"/>
    <n v="4"/>
    <n v="4"/>
    <n v="1"/>
    <n v="15"/>
    <n v="6.87"/>
    <n v="87"/>
    <n v="84"/>
    <s v="90.500.000 €"/>
    <n v="38"/>
  </r>
  <r>
    <x v="3"/>
    <x v="3"/>
    <n v="5"/>
    <n v="7"/>
    <n v="1"/>
    <n v="0"/>
    <n v="8"/>
    <n v="6.39"/>
    <n v="84"/>
    <n v="83"/>
    <s v="47.000.000 €"/>
    <n v="38"/>
  </r>
  <r>
    <x v="3"/>
    <x v="2"/>
    <n v="11"/>
    <n v="7"/>
    <n v="1"/>
    <n v="0"/>
    <n v="6"/>
    <n v="6.77"/>
    <n v="84"/>
    <n v="82"/>
    <s v="45.500.000 €"/>
    <n v="35"/>
  </r>
  <r>
    <x v="3"/>
    <x v="4"/>
    <n v="15"/>
    <n v="5"/>
    <n v="1"/>
    <n v="0"/>
    <n v="5"/>
    <n v="6.67"/>
    <n v="84"/>
    <n v="81"/>
    <s v="47.500.000 €"/>
    <n v="33"/>
  </r>
  <r>
    <x v="3"/>
    <x v="1"/>
    <n v="9"/>
    <n v="5"/>
    <n v="1"/>
    <n v="0"/>
    <n v="6"/>
    <n v="6.45"/>
    <n v="81"/>
    <n v="80"/>
    <s v="25.500.000 €"/>
    <n v="32"/>
  </r>
  <r>
    <x v="3"/>
    <x v="12"/>
    <n v="1"/>
    <n v="2"/>
    <n v="3"/>
    <n v="0"/>
    <n v="4"/>
    <n v="6.4"/>
    <n v="82"/>
    <n v="81"/>
    <s v="32.000.000 €"/>
    <n v="28"/>
  </r>
  <r>
    <x v="3"/>
    <x v="26"/>
    <n v="9"/>
    <n v="4"/>
    <n v="2"/>
    <n v="1"/>
    <n v="12"/>
    <n v="6.72"/>
    <n v="86"/>
    <n v="82"/>
    <s v="94.000.000 €"/>
    <n v="27"/>
  </r>
  <r>
    <x v="3"/>
    <x v="35"/>
    <n v="0"/>
    <n v="4"/>
    <n v="2"/>
    <n v="0"/>
    <n v="2"/>
    <n v="6.4"/>
    <n v="83"/>
    <n v="82"/>
    <s v="25.500.000 €"/>
    <n v="27"/>
  </r>
  <r>
    <x v="3"/>
    <x v="36"/>
    <n v="0"/>
    <n v="1"/>
    <n v="3"/>
    <n v="1"/>
    <n v="13"/>
    <n v="6.53"/>
    <n v="88"/>
    <n v="88"/>
    <s v="79.000.000 €"/>
    <n v="23"/>
  </r>
  <r>
    <x v="3"/>
    <x v="37"/>
    <n v="7"/>
    <n v="10"/>
    <n v="0"/>
    <n v="0"/>
    <n v="11"/>
    <n v="7.02"/>
    <n v="90"/>
    <n v="89"/>
    <s v="122.500.000 €"/>
    <n v="23"/>
  </r>
  <r>
    <x v="3"/>
    <x v="29"/>
    <n v="1"/>
    <n v="0"/>
    <n v="0"/>
    <n v="0"/>
    <n v="1"/>
    <n v="6.23"/>
    <n v="80"/>
    <n v="77"/>
    <s v="28.500.000 €"/>
    <n v="22"/>
  </r>
  <r>
    <x v="3"/>
    <x v="14"/>
    <n v="0"/>
    <n v="0"/>
    <n v="1"/>
    <n v="0"/>
    <n v="5"/>
    <n v="6.53"/>
    <n v="79"/>
    <n v="78"/>
    <s v="17.500.000 €"/>
    <n v="19"/>
  </r>
  <r>
    <x v="3"/>
    <x v="38"/>
    <n v="0"/>
    <n v="0"/>
    <n v="0"/>
    <n v="0"/>
    <n v="0"/>
    <n v="6.5"/>
    <n v="81"/>
    <n v="80"/>
    <s v="33.000.000 €"/>
    <n v="6"/>
  </r>
  <r>
    <x v="3"/>
    <x v="23"/>
    <n v="0"/>
    <n v="0"/>
    <n v="0"/>
    <n v="0"/>
    <n v="0"/>
    <n v="6.02"/>
    <n v="81"/>
    <n v="74"/>
    <s v="55.500.000 €"/>
    <n v="5"/>
  </r>
  <r>
    <x v="3"/>
    <x v="39"/>
    <n v="0"/>
    <n v="0"/>
    <n v="0"/>
    <n v="0"/>
    <n v="1"/>
    <n v="6.48"/>
    <n v="75"/>
    <n v="72"/>
    <s v="10.500.000 €"/>
    <n v="5"/>
  </r>
  <r>
    <x v="3"/>
    <x v="40"/>
    <n v="1"/>
    <n v="2"/>
    <n v="0"/>
    <n v="0"/>
    <n v="0"/>
    <n v="6.42"/>
    <n v="75"/>
    <n v="71"/>
    <s v="12.000.000 €"/>
    <n v="5"/>
  </r>
  <r>
    <x v="3"/>
    <x v="41"/>
    <n v="0"/>
    <n v="0"/>
    <n v="0"/>
    <n v="0"/>
    <n v="1"/>
    <n v="6.47"/>
    <n v="75"/>
    <n v="73"/>
    <s v="11.500.000 €"/>
    <n v="4"/>
  </r>
  <r>
    <x v="3"/>
    <x v="32"/>
    <n v="0"/>
    <n v="0"/>
    <n v="1"/>
    <n v="0"/>
    <n v="0"/>
    <n v="6.1"/>
    <n v="74"/>
    <n v="75"/>
    <s v="2.800.000 €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4DB52-A0AD-4AE8-B226-FF65224150D8}" name="TablaDinámica19" cacheId="1709" applyNumberFormats="0" applyBorderFormats="0" applyFontFormats="0" applyPatternFormats="0" applyAlignmentFormats="0" applyWidthHeightFormats="1" dataCaption="Valores" tag="f35ea7c8-e157-4f51-86d1-02743b39160b" updatedVersion="8" minRefreshableVersion="3" useAutoFormatting="1" itemPrintTitles="1" createdVersion="8" indent="0" outline="1" outlineData="1" multipleFieldFilters="0" chartFormat="4">
  <location ref="R20:S27" firstHeaderRow="1" firstDataRow="1" firstDataCol="1"/>
  <pivotFields count="2">
    <pivotField axis="axisRow" allDrilled="1" subtotalTop="0" showAll="0" measureFilter="1" sortType="a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/>
    </i>
    <i>
      <x v="4"/>
    </i>
    <i>
      <x v="2"/>
    </i>
    <i>
      <x v="1"/>
    </i>
    <i>
      <x v="3"/>
    </i>
    <i>
      <x v="5"/>
    </i>
    <i t="grand">
      <x/>
    </i>
  </rowItems>
  <colItems count="1">
    <i/>
  </colItems>
  <dataFields count="1">
    <dataField name="Suma de Balance Venta" fld="1" baseField="0" baseItem="0"/>
  </dataFields>
  <formats count="1">
    <format dxfId="10">
      <pivotArea collapsedLevelsAreSubtotals="1" fieldPosition="0">
        <references count="1">
          <reference field="0" count="0"/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count" id="1" iMeasureHier="60">
      <autoFilter ref="A1">
        <filterColumn colId="0">
          <top10 val="6" filterVal="6"/>
        </filterColumn>
      </autoFilter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chaj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8EE1A-56E8-4CE1-98B6-BFDBD7219255}" name="TablaDinámica17" cacheId="1781" applyNumberFormats="0" applyBorderFormats="0" applyFontFormats="0" applyPatternFormats="0" applyAlignmentFormats="0" applyWidthHeightFormats="1" dataCaption="Valores" tag="b7500cf1-e1a3-45bf-a221-47634f3f6a01" updatedVersion="8" minRefreshableVersion="3" useAutoFormatting="1" rowGrandTotals="0" itemPrintTitles="1" createdVersion="8" indent="0" outline="1" outlineData="1" multipleFieldFilters="0" chartFormat="6">
  <location ref="R4:S14" firstHeaderRow="1" firstDataRow="1" firstDataCol="1"/>
  <pivotFields count="3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0">
    <i>
      <x v="7"/>
    </i>
    <i>
      <x v="3"/>
    </i>
    <i>
      <x v="8"/>
    </i>
    <i>
      <x v="5"/>
    </i>
    <i>
      <x v="4"/>
    </i>
    <i>
      <x/>
    </i>
    <i>
      <x v="9"/>
    </i>
    <i>
      <x v="6"/>
    </i>
    <i>
      <x v="1"/>
    </i>
    <i>
      <x v="2"/>
    </i>
  </rowItems>
  <colItems count="1">
    <i/>
  </colItems>
  <dataFields count="1">
    <dataField name="Suma de Sueldo ofrecido" fld="1" baseField="0" baseItem="0"/>
  </dataFields>
  <formats count="2">
    <format dxfId="14">
      <pivotArea outline="0" collapsedLevelsAreSubtotals="1" fieldPosition="0"/>
    </format>
    <format dxfId="11">
      <pivotArea collapsedLevelsAreSubtotals="1" fieldPosition="0">
        <references count="1">
          <reference field="0" count="0"/>
        </references>
      </pivotArea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count" id="1" iMeasureHier="59">
      <autoFilter ref="A1">
        <filterColumn colId="0">
          <top10 val="10" filterVal="10"/>
        </filterColumn>
      </autoFilter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chajes 1]"/>
        <x15:activeTabTopLevelEntity name="[Venta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08C8A-9FD5-416F-913A-4659FD4EDECC}" name="TablaDinámica3" cacheId="1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N45:P50" firstHeaderRow="0" firstDataRow="1" firstDataCol="1"/>
  <pivotFields count="12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Yellow Cards" fld="4" baseField="0" baseItem="0"/>
    <dataField name="Red cards" fld="5" baseField="0" baseItem="0"/>
  </dataField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4B9A1-D3D3-4D3D-AA28-5C604CCB7D69}" name="performancerate" cacheId="1217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6">
  <location ref="D12:E16" firstHeaderRow="1" firstDataRow="1" firstDataCol="1"/>
  <pivotFields count="12">
    <pivotField axis="axisRow" showAll="0">
      <items count="5">
        <item x="0"/>
        <item x="1"/>
        <item x="2"/>
        <item x="3"/>
        <item t="default"/>
      </items>
    </pivotField>
    <pivotField showAll="0">
      <items count="43">
        <item x="3"/>
        <item x="23"/>
        <item x="40"/>
        <item x="0"/>
        <item x="31"/>
        <item x="12"/>
        <item x="41"/>
        <item x="35"/>
        <item x="6"/>
        <item x="7"/>
        <item x="37"/>
        <item x="8"/>
        <item x="36"/>
        <item x="2"/>
        <item x="28"/>
        <item x="19"/>
        <item x="26"/>
        <item x="4"/>
        <item x="9"/>
        <item x="13"/>
        <item x="10"/>
        <item x="16"/>
        <item x="11"/>
        <item x="14"/>
        <item x="30"/>
        <item x="32"/>
        <item x="39"/>
        <item x="25"/>
        <item x="27"/>
        <item x="24"/>
        <item x="20"/>
        <item x="38"/>
        <item x="22"/>
        <item x="15"/>
        <item x="21"/>
        <item x="1"/>
        <item x="17"/>
        <item x="29"/>
        <item x="18"/>
        <item x="5"/>
        <item x="33"/>
        <item x="3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Performance Rate" fld="7" subtotal="average" baseField="0" baseItem="0" numFmtId="2"/>
  </dataFields>
  <formats count="2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6A481C-40B9-4C54-85FB-18A51F1D0385}" name="TablaDinámica1" cacheId="1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M58:O63" firstHeaderRow="0" firstDataRow="1" firstDataCol="1"/>
  <pivotFields count="12"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Goals" fld="2" baseField="0" baseItem="0"/>
    <dataField name="Assists" fld="3" baseField="0" baseItem="0"/>
  </dataField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50DEB5-57F1-4F46-9015-F5B7AD7FA3E4}" name="TablaDinámica7" cacheId="1772" applyNumberFormats="0" applyBorderFormats="0" applyFontFormats="0" applyPatternFormats="0" applyAlignmentFormats="0" applyWidthHeightFormats="1" dataCaption="Valores" tag="eaf93bed-7fbe-4944-b3b7-d7b5b0a59822" updatedVersion="8" minRefreshableVersion="3" useAutoFormatting="1" subtotalHiddenItems="1" itemPrintTitles="1" createdVersion="8" indent="0" outline="1" outlineData="1" multipleFieldFilters="0" chartFormat="7">
  <location ref="A27:B37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llDrilled="1" subtotalTop="0" showAll="0" dataSourceSort="1" defaultSubtotal="0" defaultAttributeDrillState="1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Recuento de Nombre" fld="0" subtotal="count" baseField="0" baseItem="0"/>
  </dataFields>
  <chartFormats count="10">
    <chartFormat chart="6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chaj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C84E6-76BE-44CE-8278-4FD7A7946AD0}" name="TablaDinámica6" cacheId="1769" applyNumberFormats="0" applyBorderFormats="0" applyFontFormats="0" applyPatternFormats="0" applyAlignmentFormats="0" applyWidthHeightFormats="1" dataCaption="Valores" tag="d955a302-594e-4ec7-9902-6260e48b6bf7" updatedVersion="8" minRefreshableVersion="3" useAutoFormatting="1" subtotalHiddenItems="1" itemPrintTitles="1" createdVersion="8" indent="0" outline="1" outlineData="1" multipleFieldFilters="0" chartFormat="8">
  <location ref="A18:B23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Nombre" fld="1" subtotal="count" baseField="0" baseItem="0"/>
  </dataFields>
  <chartFormats count="5"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chaj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40DD2-7A9B-4AB7-BBE1-FFE28077037D}" name="TablaDinámica5" cacheId="1766" applyNumberFormats="0" applyBorderFormats="0" applyFontFormats="0" applyPatternFormats="0" applyAlignmentFormats="0" applyWidthHeightFormats="1" dataCaption="Valores" tag="38754982-9d7e-4e75-998f-05b8086fbec3" updatedVersion="8" minRefreshableVersion="3" useAutoFormatting="1" subtotalHiddenItems="1" itemPrintTitles="1" createdVersion="8" indent="0" outline="1" outlineData="1" multipleFieldFilters="0" chartFormat="6">
  <location ref="D4:O10" firstHeaderRow="1" firstDataRow="2" firstDataCol="1"/>
  <pivotFields count="4">
    <pivotField axis="axisCol" allDrilled="1" subtotalTop="0" showAll="0" measureFilter="1" sortType="descending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11">
    <i>
      <x v="2"/>
    </i>
    <i>
      <x v="3"/>
    </i>
    <i>
      <x v="5"/>
    </i>
    <i>
      <x v="8"/>
    </i>
    <i>
      <x/>
    </i>
    <i>
      <x v="4"/>
    </i>
    <i>
      <x v="1"/>
    </i>
    <i>
      <x v="7"/>
    </i>
    <i>
      <x v="6"/>
    </i>
    <i>
      <x v="9"/>
    </i>
    <i t="grand">
      <x/>
    </i>
  </colItems>
  <dataFields count="1">
    <dataField name="Suma de Goles" fld="1" baseField="0" baseItem="0"/>
  </dataFields>
  <chartFormats count="29">
    <chartFormat chart="3" format="1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1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1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3" format="1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3" format="1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3" format="1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1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1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3" format="1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3" format="1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3" format="1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1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3" format="1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3" format="1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3" format="1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1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3" format="1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3" format="1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3" format="1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3" format="1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count" id="2" iMeasureHier="47">
      <autoFilter ref="A1">
        <filterColumn colId="0">
          <top10 val="10" filterVal="10"/>
        </filterColumn>
      </autoFilter>
    </filter>
  </filters>
  <rowHierarchiesUsage count="1"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adisticasJugador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C479F0-5BE1-4A5D-8BD7-FAA6E5063EB0}" name="TablaDinámica10" cacheId="1760" applyNumberFormats="0" applyBorderFormats="0" applyFontFormats="0" applyPatternFormats="0" applyAlignmentFormats="0" applyWidthHeightFormats="1" dataCaption="Valores" tag="67c40a25-bf73-4f20-88c8-4db9f645c1ea" updatedVersion="8" minRefreshableVersion="3" useAutoFormatting="1" subtotalHiddenItems="1" rowGrandTotals="0" itemPrintTitles="1" createdVersion="8" indent="0" outline="1" outlineData="1" multipleFieldFilters="0" chartFormat="6">
  <location ref="G59:J71" firstHeaderRow="0" firstDataRow="1" firstDataCol="1"/>
  <pivotFields count="5">
    <pivotField dataField="1" subtotalTop="0" showAll="0" defaultSubtotal="0"/>
    <pivotField axis="axisRow" allDrilled="1" subtotalTop="0" showAll="0" measureFilter="1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dataFields count="3">
    <dataField name="Valor de mercado" fld="0" baseField="1" baseItem="0" numFmtId="165"/>
    <dataField name="Suma de Precio fichaje" fld="2" baseField="0" baseItem="0"/>
    <dataField name="Balance " fld="3" baseField="1" baseItem="3"/>
  </dataFields>
  <formats count="1">
    <format dxfId="16">
      <pivotArea outline="0" collapsedLevelsAreSubtotals="1" fieldPosition="0"/>
    </format>
  </formats>
  <chartFormats count="8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2"/>
          </reference>
          <reference field="1" count="1" selected="0">
            <x v="9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2"/>
          </reference>
          <reference field="1" count="1" selected="0">
            <x v="1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lor de mercado"/>
    <pivotHierarchy dragToData="1"/>
    <pivotHierarchy dragToData="1" caption="Balance 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1" type="count" id="2" iMeasureHier="53">
      <autoFilter ref="A1">
        <filterColumn colId="0">
          <top10 val="12" filterVal="12"/>
        </filterColumn>
      </autoFilter>
    </filter>
  </filters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 1]"/>
        <x15:activeTabTopLevelEntity name="[Fichaj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F64957-F87C-4606-9E28-639391FCB0BB}" name="TablaDinámica9" cacheId="1778" applyNumberFormats="0" applyBorderFormats="0" applyFontFormats="0" applyPatternFormats="0" applyAlignmentFormats="0" applyWidthHeightFormats="1" dataCaption="Valores" tag="4b3901e2-e0c3-40ef-8a2a-b72f67fafeba" updatedVersion="8" minRefreshableVersion="3" useAutoFormatting="1" subtotalHiddenItems="1" rowGrandTotals="0" itemPrintTitles="1" createdVersion="8" indent="0" outline="1" outlineData="1" multipleFieldFilters="0" chartFormat="6">
  <location ref="A43:B53" firstHeaderRow="1" firstDataRow="1" firstDataCol="1"/>
  <pivotFields count="3">
    <pivotField dataField="1" subtotalTop="0" showAll="0" defaultSubtotal="0"/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10">
    <i>
      <x v="9"/>
    </i>
    <i>
      <x v="6"/>
    </i>
    <i>
      <x/>
    </i>
    <i>
      <x v="8"/>
    </i>
    <i>
      <x v="1"/>
    </i>
    <i>
      <x v="5"/>
    </i>
    <i>
      <x v="7"/>
    </i>
    <i>
      <x v="3"/>
    </i>
    <i>
      <x v="4"/>
    </i>
    <i>
      <x v="2"/>
    </i>
  </rowItems>
  <colItems count="1">
    <i/>
  </colItems>
  <dataFields count="1">
    <dataField name="Suma de Partidos jugados" fld="0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1" type="count" id="1" iMeasureHier="51">
      <autoFilter ref="A1">
        <filterColumn colId="0">
          <top10 val="10" filterVal="10"/>
        </filterColumn>
      </autoFilter>
    </filter>
  </filters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adisticasJugador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34BB64-EA89-4FF1-9C3A-E0D0414B2F29}" name="TablaDinámica4" cacheId="1763" applyNumberFormats="0" applyBorderFormats="0" applyFontFormats="0" applyPatternFormats="0" applyAlignmentFormats="0" applyWidthHeightFormats="1" dataCaption="Valores" tag="4397b145-cd22-4adb-9e6c-2518cc691e29" updatedVersion="8" minRefreshableVersion="3" useAutoFormatting="1" subtotalHiddenItems="1" rowGrandTotals="0" itemPrintTitles="1" createdVersion="8" indent="0" outline="1" outlineData="1" multipleFieldFilters="0" chartFormat="6">
  <location ref="A4:B14" firstHeaderRow="1" firstDataRow="1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0">
    <i>
      <x v="5"/>
    </i>
    <i>
      <x v="4"/>
    </i>
    <i>
      <x v="3"/>
    </i>
    <i>
      <x v="8"/>
    </i>
    <i>
      <x v="7"/>
    </i>
    <i>
      <x/>
    </i>
    <i>
      <x v="6"/>
    </i>
    <i>
      <x v="9"/>
    </i>
    <i>
      <x v="2"/>
    </i>
    <i>
      <x v="1"/>
    </i>
  </rowItems>
  <colItems count="1">
    <i/>
  </colItems>
  <dataFields count="1">
    <dataField name="Suma de Cambio valoración" fld="1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count" id="1" iMeasureHier="46">
      <autoFilter ref="A1">
        <filterColumn colId="0">
          <top10 val="10" filterVal="10"/>
        </filterColumn>
      </autoFilter>
    </filter>
  </filters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adisticasJugador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967046-C437-457C-ABE5-55A2C224B31A}" name="TablaDinámica8" cacheId="1775" applyNumberFormats="0" applyBorderFormats="0" applyFontFormats="0" applyPatternFormats="0" applyAlignmentFormats="0" applyWidthHeightFormats="1" dataCaption="Valores" tag="d8d95ed1-4ed1-45bb-b2b1-defc88cb26a7" updatedVersion="8" minRefreshableVersion="3" useAutoFormatting="1" subtotalHiddenItems="1" itemPrintTitles="1" createdVersion="8" indent="0" outline="1" outlineData="1" multipleFieldFilters="0" chartFormat="8">
  <location ref="G40:I53" firstHeaderRow="0" firstDataRow="1" firstDataCol="1"/>
  <pivotFields count="4">
    <pivotField axis="axisRow" allDrilled="1" subtotalTop="0" showAll="0" measureFilter="1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Asistencias" fld="2" baseField="0" baseItem="0"/>
  </dataFields>
  <chartFormats count="2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count" id="1" iMeasureHier="47">
      <autoFilter ref="A1">
        <filterColumn colId="0">
          <top10 val="12" filterVal="12"/>
        </filterColumn>
      </autoFilter>
    </filter>
  </filters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adisticasJugadores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emporada" xr10:uid="{A869DE9F-7D34-4B14-9875-5C506CB8E68F}" sourceName="[Fichajes 1].[Temporada]">
  <pivotTables>
    <pivotTable tabId="3" name="TablaDinámica10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  <pivotTable tabId="3" name="TablaDinámica17"/>
  </pivotTables>
  <data>
    <olap pivotCacheId="313944011">
      <levels count="2">
        <level uniqueName="[Fichajes 1].[Temporada].[(All)]" sourceCaption="(All)" count="0"/>
        <level uniqueName="[Fichajes 1].[Temporada].[Temporada]" sourceCaption="Temporada" count="5">
          <ranges>
            <range startItem="0">
              <i n="[Fichajes 1].[Temporada].&amp;[22/23]" c="22/23"/>
              <i n="[Fichajes 1].[Temporada].&amp;[23/24]" c="23/24"/>
              <i n="[Fichajes 1].[Temporada].&amp;[24/25]" c="24/25"/>
              <i n="[Fichajes 1].[Temporada].&amp;[25/26]" c="25/26"/>
              <i n="[Fichajes 1].[Temporada].&amp;" c="(en blanco)"/>
            </range>
          </ranges>
        </level>
      </levels>
      <selections count="1">
        <selection n="[Fichajes 1].[Temporada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" xr10:uid="{60601E9D-E438-4F3A-A511-9373691BB29C}" sourceName="[Fichajes 1].[Posición]">
  <pivotTables>
    <pivotTable tabId="3" name="TablaDinámica10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  <pivotTable tabId="3" name="TablaDinámica17"/>
  </pivotTables>
  <data>
    <olap pivotCacheId="313944011">
      <levels count="2">
        <level uniqueName="[Fichajes 1].[Posición].[(All)]" sourceCaption="(All)" count="0"/>
        <level uniqueName="[Fichajes 1].[Posición].[Posición]" sourceCaption="Posición" count="10">
          <ranges>
            <range startItem="0">
              <i n="[Fichajes 1].[Posición].&amp;[CAM]" c="CAM"/>
              <i n="[Fichajes 1].[Posición].&amp;[CDM]" c="CDM"/>
              <i n="[Fichajes 1].[Posición].&amp;[CM]" c="CM"/>
              <i n="[Fichajes 1].[Posición].&amp;[DC]" c="DC"/>
              <i n="[Fichajes 1].[Posición].&amp;[DFC]" c="DFC"/>
              <i n="[Fichajes 1].[Posición].&amp;[LD/CAD]" c="LD/CAD"/>
              <i n="[Fichajes 1].[Posición].&amp;[LI/CAI]" c="LI/CAI"/>
              <i n="[Fichajes 1].[Posición].&amp;[MI]" c="MI"/>
              <i n="[Fichajes 1].[Posición].&amp;[SD]" c="SD"/>
              <i n="[Fichajes 1].[Posición].&amp;" c="(en blanco)"/>
            </range>
          </ranges>
        </level>
      </levels>
      <selections count="1">
        <selection n="[Fichajes 1].[Posició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ierna_habil" xr10:uid="{6CBCD678-2CAE-4152-B705-C771C7ECA28A}" sourceName="[Fichajes 1].[Pierna habil]">
  <pivotTables>
    <pivotTable tabId="3" name="TablaDinámica10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  <pivotTable tabId="3" name="TablaDinámica17"/>
  </pivotTables>
  <data>
    <olap pivotCacheId="313944011">
      <levels count="2">
        <level uniqueName="[Fichajes 1].[Pierna habil].[(All)]" sourceCaption="(All)" count="0"/>
        <level uniqueName="[Fichajes 1].[Pierna habil].[Pierna habil]" sourceCaption="Pierna habil" count="3">
          <ranges>
            <range startItem="0">
              <i n="[Fichajes 1].[Pierna habil].&amp;[Left]" c="Left"/>
              <i n="[Fichajes 1].[Pierna habil].&amp;[Right]" c="Right"/>
              <i n="[Fichajes 1].[Pierna habil].&amp;" c="(en blanco)"/>
            </range>
          </ranges>
        </level>
      </levels>
      <selections count="1">
        <selection n="[Fichajes 1].[Pierna habi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l" xr10:uid="{762324EC-D85F-4865-AF09-204A2D08BE0F}" sourceName="[Fichajes 1].[Rol]">
  <pivotTables>
    <pivotTable tabId="3" name="TablaDinámica10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  <pivotTable tabId="3" name="TablaDinámica17"/>
  </pivotTables>
  <data>
    <olap pivotCacheId="313944011">
      <levels count="2">
        <level uniqueName="[Fichajes 1].[Rol].[(All)]" sourceCaption="(All)" count="0"/>
        <level uniqueName="[Fichajes 1].[Rol].[Rol]" sourceCaption="Rol" count="5">
          <ranges>
            <range startItem="0">
              <i n="[Fichajes 1].[Rol].&amp;[Clave]" c="Clave"/>
              <i n="[Fichajes 1].[Rol].&amp;[Importante]" c="Importante"/>
              <i n="[Fichajes 1].[Rol].&amp;[Ocasional]" c="Ocasional"/>
              <i n="[Fichajes 1].[Rol].&amp;[Rotación]" c="Rotación"/>
              <i n="[Fichajes 1].[Rol].&amp;" c="(en blanco)"/>
            </range>
          </ranges>
        </level>
      </levels>
      <selections count="1">
        <selection n="[Fichajes 1].[Rol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mporada" xr10:uid="{4EDBF8D0-26DE-46CD-9567-2505DC38CB08}" cache="SegmentaciónDeDatos_Temporada" caption="Temporada" columnCount="4" level="1" style="Estilo de segmentación de datos 1" rowHeight="225425"/>
  <slicer name="Posición" xr10:uid="{519A9462-A2C5-440F-9051-91D1B80527FE}" cache="SegmentaciónDeDatos_Posición" caption="Posición" columnCount="3" level="1" style="Estilo de segmentación de datos 1" rowHeight="225425"/>
  <slicer name="Pierna habil" xr10:uid="{C8848BF9-7270-4545-8222-10CB8C497145}" cache="SegmentaciónDeDatos_Pierna_habil" caption="Pierna habil" columnCount="2" level="1" style="Estilo de segmentación de datos 1" rowHeight="225425"/>
  <slicer name="Rol" xr10:uid="{6BC184D6-CC5B-47E9-9359-01A4D183458D}" cache="SegmentaciónDeDatos_Rol" caption="Rol" columnCount="4" level="1" style="Estilo de segmentación de datos 1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lanceFichajes" displayName="BalanceFichajes" ref="V1:W2" totalsRowShown="0">
  <autoFilter ref="V1:W2" xr:uid="{00000000-0009-0000-0100-000005000000}"/>
  <tableColumns count="2">
    <tableColumn id="1" xr3:uid="{00000000-0010-0000-0000-000001000000}" name="Total ingresos ventas" dataDxfId="62">
      <calculatedColumnFormula>SUM(S:S)</calculatedColumnFormula>
    </tableColumn>
    <tableColumn id="2" xr3:uid="{00000000-0010-0000-0000-000002000000}" name="Total gastos fichajes" dataDxfId="61">
      <calculatedColumnFormula>SUM(H:H)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Fichajes" displayName="Fichajes" ref="A1:O29" totalsRowShown="0" headerRowDxfId="60" dataDxfId="59">
  <autoFilter ref="A1:O29" xr:uid="{00000000-0009-0000-0100-000006000000}"/>
  <tableColumns count="15">
    <tableColumn id="1" xr3:uid="{00000000-0010-0000-0100-000001000000}" name="Temporada" dataDxfId="58"/>
    <tableColumn id="2" xr3:uid="{00000000-0010-0000-0100-000002000000}" name="Edad" dataDxfId="57"/>
    <tableColumn id="3" xr3:uid="{00000000-0010-0000-0100-000003000000}" name="Nombre" dataDxfId="56"/>
    <tableColumn id="4" xr3:uid="{00000000-0010-0000-0100-000004000000}" name="Nacionalidad" dataDxfId="55"/>
    <tableColumn id="5" xr3:uid="{00000000-0010-0000-0100-000005000000}" name="Posición" dataDxfId="54"/>
    <tableColumn id="6" xr3:uid="{00000000-0010-0000-0100-000006000000}" name="Pierna habil" dataDxfId="53"/>
    <tableColumn id="7" xr3:uid="{00000000-0010-0000-0100-000007000000}" name="Valor de mercado" dataDxfId="52" dataCellStyle="Moneda"/>
    <tableColumn id="8" xr3:uid="{00000000-0010-0000-0100-000008000000}" name="Precio fichaje" dataDxfId="51" dataCellStyle="Moneda"/>
    <tableColumn id="9" xr3:uid="{00000000-0010-0000-0100-000009000000}" name="Balance obtenido" dataDxfId="50" dataCellStyle="Moneda">
      <calculatedColumnFormula>G2-H2</calculatedColumnFormula>
    </tableColumn>
    <tableColumn id="10" xr3:uid="{00000000-0010-0000-0100-00000A000000}" name="Precio Venta" dataDxfId="49" dataCellStyle="Moneda">
      <calculatedColumnFormula>_xlfn.XLOOKUP(Fichajes[[#This Row],[Nombre]],Ventas[Nombre],Ventas[Precio],0,0,1)</calculatedColumnFormula>
    </tableColumn>
    <tableColumn id="11" xr3:uid="{00000000-0010-0000-0100-00000B000000}" name="Balance Venta" dataDxfId="48" dataCellStyle="Moneda">
      <calculatedColumnFormula>J2-H2</calculatedColumnFormula>
    </tableColumn>
    <tableColumn id="12" xr3:uid="{00000000-0010-0000-0100-00000C000000}" name="Sueldo ofrecido" dataDxfId="47" dataCellStyle="Moneda"/>
    <tableColumn id="13" xr3:uid="{00000000-0010-0000-0100-00000D000000}" name="Años contrato" dataDxfId="46"/>
    <tableColumn id="14" xr3:uid="{00000000-0010-0000-0100-00000E000000}" name="Rol" dataDxfId="45"/>
    <tableColumn id="15" xr3:uid="{00000000-0010-0000-0100-00000F000000}" name="Equipo procedencia" dataDxfId="44"/>
  </tableColumns>
  <tableStyleInfo name="STATS_JUGADORES-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2000000}" name="Ventas" displayName="Ventas" ref="Q1:S57" totalsRowShown="0" tableBorderDxfId="43">
  <autoFilter ref="Q1:S57" xr:uid="{00000000-0009-0000-0100-000013000000}"/>
  <tableColumns count="3">
    <tableColumn id="1" xr3:uid="{00000000-0010-0000-0200-000001000000}" name="Temporada" dataDxfId="42"/>
    <tableColumn id="2" xr3:uid="{00000000-0010-0000-0200-000002000000}" name="Nombre"/>
    <tableColumn id="3" xr3:uid="{00000000-0010-0000-0200-000003000000}" name="Precio" dataDxfId="41" dataCellStyle="Moneda"/>
  </tableColumns>
  <tableStyleInfo name="DATOS-style 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BalancePorAño" displayName="BalancePorAño" ref="U6:W7" totalsRowShown="0" headerRowDxfId="40" dataDxfId="39">
  <autoFilter ref="U6:W7" xr:uid="{00000000-0009-0000-0100-000018000000}"/>
  <tableColumns count="3">
    <tableColumn id="3" xr3:uid="{00000000-0010-0000-0400-000003000000}" name="Temporada" dataDxfId="15"/>
    <tableColumn id="1" xr3:uid="{00000000-0010-0000-0400-000001000000}" name="Total ingresos ventas por año" dataDxfId="38">
      <calculatedColumnFormula>SUMIF(Ventas[Temporada],U7,Ventas[Precio])</calculatedColumnFormula>
    </tableColumn>
    <tableColumn id="2" xr3:uid="{00000000-0010-0000-0400-000002000000}" name="Total gastos fichajes por año" dataDxfId="37">
      <calculatedColumnFormula>SUMIF(Fichajes[Temporada],U7,Fichajes[Precio fichaje])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5000000}" name="EstadisticasJugadores" displayName="EstadisticasJugadores" ref="A1:L99" totalsRowShown="0" headerRowDxfId="36" dataDxfId="35" tableBorderDxfId="34">
  <tableColumns count="12">
    <tableColumn id="1" xr3:uid="{00000000-0010-0000-0500-000001000000}" name="Temporada" dataDxfId="33"/>
    <tableColumn id="2" xr3:uid="{00000000-0010-0000-0500-000002000000}" name="Nombre" dataDxfId="32"/>
    <tableColumn id="3" xr3:uid="{00000000-0010-0000-0500-000003000000}" name="Goles" dataDxfId="31"/>
    <tableColumn id="4" xr3:uid="{00000000-0010-0000-0500-000004000000}" name="Asistencias" dataDxfId="30"/>
    <tableColumn id="5" xr3:uid="{00000000-0010-0000-0500-000005000000}" name="Tarjetas amarillas" dataDxfId="29"/>
    <tableColumn id="6" xr3:uid="{00000000-0010-0000-0500-000006000000}" name="Tarjetas rojas" dataDxfId="28"/>
    <tableColumn id="7" xr3:uid="{00000000-0010-0000-0500-000007000000}" name="Porterias a cero" dataDxfId="23"/>
    <tableColumn id="11" xr3:uid="{00000000-0010-0000-0500-00000B000000}" name="Media Rendimiento" dataDxfId="21"/>
    <tableColumn id="8" xr3:uid="{00000000-0010-0000-0500-000008000000}" name="Valoración Final" dataDxfId="22"/>
    <tableColumn id="10" xr3:uid="{00000000-0010-0000-0500-00000A000000}" name="Valoración Inicio" dataDxfId="27"/>
    <tableColumn id="12" xr3:uid="{00000000-0010-0000-0500-00000C000000}" name="Valor mercado Final" dataDxfId="26" dataCellStyle="Moneda"/>
    <tableColumn id="9" xr3:uid="{00000000-0010-0000-0500-000009000000}" name="Partidos jugados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719F0-0B75-4D07-95BA-48FCD33E8F98}" name="Tabla1" displayName="Tabla1" ref="F6:F10" totalsRowShown="0" headerRowDxfId="24">
  <autoFilter ref="F6:F10" xr:uid="{E03719F0-0B75-4D07-95BA-48FCD33E8F98}"/>
  <tableColumns count="1">
    <tableColumn id="1" xr3:uid="{6F146BEE-C4E3-4332-922F-704C3B7ADD08}" name="Temporadas">
      <calculatedColumnFormula>_xlfn.CONCAT(D6,"/",D7)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D566F3-3DA4-4814-BB6E-D8CFCF834E2E}" name="AllPlayersList" displayName="AllPlayersList" ref="J5:K47" totalsRowShown="0" headerRowDxfId="20">
  <autoFilter ref="J5:K47" xr:uid="{5BD566F3-3DA4-4814-BB6E-D8CFCF834E2E}"/>
  <tableColumns count="2">
    <tableColumn id="1" xr3:uid="{6320B933-CF38-487E-AF5E-7A5B7EEE7BC7}" name="Ids"/>
    <tableColumn id="2" xr3:uid="{F68F8B9F-C920-43E1-A4FF-103E7F373875}" name="Nam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B1002"/>
  <sheetViews>
    <sheetView zoomScaleNormal="100" workbookViewId="0">
      <selection activeCell="E16" sqref="E16"/>
    </sheetView>
  </sheetViews>
  <sheetFormatPr baseColWidth="10" defaultColWidth="12.5703125" defaultRowHeight="15.75" customHeight="1" x14ac:dyDescent="0.2"/>
  <cols>
    <col min="1" max="1" width="13.7109375" bestFit="1" customWidth="1"/>
    <col min="2" max="2" width="7.85546875" bestFit="1" customWidth="1"/>
    <col min="3" max="3" width="16.85546875" bestFit="1" customWidth="1"/>
    <col min="4" max="4" width="15.28515625" bestFit="1" customWidth="1"/>
    <col min="5" max="5" width="11" bestFit="1" customWidth="1"/>
    <col min="6" max="6" width="14.42578125" bestFit="1" customWidth="1"/>
    <col min="7" max="7" width="19.7109375" style="8" bestFit="1" customWidth="1"/>
    <col min="8" max="8" width="15.85546875" style="8" bestFit="1" customWidth="1"/>
    <col min="9" max="9" width="19.42578125" style="8" bestFit="1" customWidth="1"/>
    <col min="10" max="10" width="16.42578125" style="8" customWidth="1"/>
    <col min="11" max="11" width="16.5703125" style="8" bestFit="1" customWidth="1"/>
    <col min="12" max="12" width="17.7109375" style="8" bestFit="1" customWidth="1"/>
    <col min="13" max="13" width="15.7109375" bestFit="1" customWidth="1"/>
    <col min="14" max="14" width="10.7109375" customWidth="1"/>
    <col min="15" max="15" width="21.5703125" bestFit="1" customWidth="1"/>
    <col min="17" max="17" width="12.28515625" customWidth="1"/>
    <col min="18" max="18" width="18.42578125" customWidth="1"/>
    <col min="19" max="19" width="16.85546875" style="8" customWidth="1"/>
    <col min="21" max="21" width="13.7109375" bestFit="1" customWidth="1"/>
    <col min="22" max="22" width="30.42578125" bestFit="1" customWidth="1"/>
    <col min="23" max="23" width="29.7109375" bestFit="1" customWidth="1"/>
    <col min="28" max="28" width="13.28515625" customWidth="1"/>
  </cols>
  <sheetData>
    <row r="1" spans="1:28" ht="12.75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26" t="s">
        <v>12</v>
      </c>
      <c r="N1" s="26" t="s">
        <v>13</v>
      </c>
      <c r="O1" s="26" t="s">
        <v>14</v>
      </c>
      <c r="P1" s="1"/>
      <c r="Q1" t="s">
        <v>0</v>
      </c>
      <c r="R1" s="12" t="s">
        <v>2</v>
      </c>
      <c r="S1" s="51" t="s">
        <v>227</v>
      </c>
      <c r="T1" s="1"/>
      <c r="U1" s="1"/>
      <c r="V1" s="2" t="s">
        <v>15</v>
      </c>
      <c r="W1" s="3" t="s">
        <v>16</v>
      </c>
    </row>
    <row r="2" spans="1:28" ht="12.75" x14ac:dyDescent="0.2">
      <c r="A2" s="39" t="s">
        <v>17</v>
      </c>
      <c r="B2" s="40">
        <v>20</v>
      </c>
      <c r="C2" s="40" t="s">
        <v>18</v>
      </c>
      <c r="D2" s="40" t="s">
        <v>19</v>
      </c>
      <c r="E2" s="40" t="s">
        <v>20</v>
      </c>
      <c r="F2" s="40" t="s">
        <v>21</v>
      </c>
      <c r="G2" s="41">
        <v>3200000</v>
      </c>
      <c r="H2" s="41">
        <v>2650000</v>
      </c>
      <c r="I2" s="41">
        <f t="shared" ref="I2:I17" si="0">G2-H2</f>
        <v>550000</v>
      </c>
      <c r="J2" s="41">
        <f>_xlfn.XLOOKUP(Fichajes[[#This Row],[Nombre]],Ventas[Nombre],Ventas[Precio],0,0,1)</f>
        <v>0</v>
      </c>
      <c r="K2" s="41">
        <f t="shared" ref="K2:K17" si="1">J2-H2</f>
        <v>-2650000</v>
      </c>
      <c r="L2" s="41">
        <v>3000</v>
      </c>
      <c r="M2" s="40" t="s">
        <v>22</v>
      </c>
      <c r="N2" s="40" t="s">
        <v>23</v>
      </c>
      <c r="O2" s="42" t="s">
        <v>24</v>
      </c>
      <c r="P2" s="1"/>
      <c r="Q2" s="13" t="s">
        <v>17</v>
      </c>
      <c r="R2" t="s">
        <v>25</v>
      </c>
      <c r="S2" s="32">
        <v>5500000</v>
      </c>
      <c r="T2" s="1"/>
      <c r="U2" s="1"/>
      <c r="V2" s="4">
        <f>SUM(S:S)</f>
        <v>560885000</v>
      </c>
      <c r="W2" s="5">
        <f>SUM(H:H)</f>
        <v>600150000</v>
      </c>
      <c r="AB2" s="12"/>
    </row>
    <row r="3" spans="1:28" ht="12.75" x14ac:dyDescent="0.2">
      <c r="A3" s="36" t="s">
        <v>17</v>
      </c>
      <c r="B3">
        <v>19</v>
      </c>
      <c r="C3" t="s">
        <v>26</v>
      </c>
      <c r="D3" t="s">
        <v>19</v>
      </c>
      <c r="E3" t="s">
        <v>20</v>
      </c>
      <c r="F3" t="s">
        <v>21</v>
      </c>
      <c r="G3" s="37">
        <v>5500000</v>
      </c>
      <c r="H3" s="37">
        <v>2550000</v>
      </c>
      <c r="I3" s="37">
        <f t="shared" si="0"/>
        <v>2950000</v>
      </c>
      <c r="J3" s="37">
        <f>_xlfn.XLOOKUP(Fichajes[[#This Row],[Nombre]],Ventas[Nombre],Ventas[Precio],0,0,1)</f>
        <v>0</v>
      </c>
      <c r="K3" s="37">
        <f t="shared" si="1"/>
        <v>-2550000</v>
      </c>
      <c r="L3" s="37">
        <v>7000</v>
      </c>
      <c r="M3" t="s">
        <v>27</v>
      </c>
      <c r="N3" t="s">
        <v>23</v>
      </c>
      <c r="O3" s="43" t="s">
        <v>28</v>
      </c>
      <c r="P3" s="1"/>
      <c r="Q3" s="13" t="s">
        <v>17</v>
      </c>
      <c r="R3" t="s">
        <v>29</v>
      </c>
      <c r="S3" s="32">
        <v>320000</v>
      </c>
      <c r="T3" s="1"/>
      <c r="U3" s="1"/>
      <c r="V3" s="6"/>
      <c r="W3" s="6"/>
      <c r="AB3" s="12"/>
    </row>
    <row r="4" spans="1:28" ht="12.75" x14ac:dyDescent="0.2">
      <c r="A4" s="36" t="s">
        <v>17</v>
      </c>
      <c r="B4">
        <v>20</v>
      </c>
      <c r="C4" t="s">
        <v>30</v>
      </c>
      <c r="D4" t="s">
        <v>31</v>
      </c>
      <c r="E4" t="s">
        <v>32</v>
      </c>
      <c r="F4" t="s">
        <v>33</v>
      </c>
      <c r="G4" s="37">
        <v>2500000</v>
      </c>
      <c r="H4" s="37">
        <v>1900000</v>
      </c>
      <c r="I4" s="37">
        <f t="shared" si="0"/>
        <v>600000</v>
      </c>
      <c r="J4" s="37">
        <f>_xlfn.XLOOKUP(Fichajes[[#This Row],[Nombre]],Ventas[Nombre],Ventas[Precio],0,0,1)</f>
        <v>16300000</v>
      </c>
      <c r="K4" s="37">
        <f t="shared" si="1"/>
        <v>14400000</v>
      </c>
      <c r="L4" s="37">
        <v>10001</v>
      </c>
      <c r="M4" t="s">
        <v>27</v>
      </c>
      <c r="N4" t="s">
        <v>23</v>
      </c>
      <c r="O4" s="43" t="s">
        <v>34</v>
      </c>
      <c r="P4" s="1"/>
      <c r="Q4" s="13" t="s">
        <v>17</v>
      </c>
      <c r="R4" t="s">
        <v>35</v>
      </c>
      <c r="S4" s="32">
        <v>5500000</v>
      </c>
      <c r="T4" s="1"/>
      <c r="U4" s="1"/>
      <c r="AB4" s="12"/>
    </row>
    <row r="5" spans="1:28" ht="12.75" x14ac:dyDescent="0.2">
      <c r="A5" s="36" t="s">
        <v>17</v>
      </c>
      <c r="B5">
        <v>22</v>
      </c>
      <c r="C5" t="s">
        <v>36</v>
      </c>
      <c r="D5" t="s">
        <v>37</v>
      </c>
      <c r="E5" t="s">
        <v>38</v>
      </c>
      <c r="F5" t="s">
        <v>21</v>
      </c>
      <c r="G5" s="37">
        <v>3600000</v>
      </c>
      <c r="H5" s="37">
        <v>1700000</v>
      </c>
      <c r="I5" s="37">
        <f t="shared" si="0"/>
        <v>1900000</v>
      </c>
      <c r="J5" s="37">
        <f>_xlfn.XLOOKUP(Fichajes[[#This Row],[Nombre]],Ventas[Nombre],Ventas[Precio],0,0,1)</f>
        <v>7500000</v>
      </c>
      <c r="K5" s="37">
        <f t="shared" si="1"/>
        <v>5800000</v>
      </c>
      <c r="L5" s="37">
        <v>3069</v>
      </c>
      <c r="M5" t="s">
        <v>27</v>
      </c>
      <c r="N5" t="s">
        <v>23</v>
      </c>
      <c r="O5" s="43" t="s">
        <v>39</v>
      </c>
      <c r="P5" s="1"/>
      <c r="Q5" s="13" t="s">
        <v>17</v>
      </c>
      <c r="R5" t="s">
        <v>40</v>
      </c>
      <c r="S5" s="32">
        <v>290000</v>
      </c>
      <c r="T5" s="1"/>
      <c r="U5" s="1"/>
      <c r="AB5" s="12"/>
    </row>
    <row r="6" spans="1:28" ht="12.75" x14ac:dyDescent="0.2">
      <c r="A6" s="36" t="s">
        <v>17</v>
      </c>
      <c r="B6">
        <v>26</v>
      </c>
      <c r="C6" t="s">
        <v>41</v>
      </c>
      <c r="D6" t="s">
        <v>31</v>
      </c>
      <c r="E6" t="s">
        <v>42</v>
      </c>
      <c r="F6" t="s">
        <v>21</v>
      </c>
      <c r="G6" s="37">
        <v>9000000</v>
      </c>
      <c r="H6" s="37">
        <v>7500000</v>
      </c>
      <c r="I6" s="37">
        <f t="shared" si="0"/>
        <v>1500000</v>
      </c>
      <c r="J6" s="37">
        <f>_xlfn.XLOOKUP(Fichajes[[#This Row],[Nombre]],Ventas[Nombre],Ventas[Precio],0,0,1)</f>
        <v>11000000</v>
      </c>
      <c r="K6" s="37">
        <f t="shared" si="1"/>
        <v>3500000</v>
      </c>
      <c r="L6" s="37">
        <v>15001</v>
      </c>
      <c r="M6" t="s">
        <v>27</v>
      </c>
      <c r="N6" t="s">
        <v>43</v>
      </c>
      <c r="O6" s="43" t="s">
        <v>44</v>
      </c>
      <c r="P6" s="1"/>
      <c r="Q6" s="13" t="s">
        <v>17</v>
      </c>
      <c r="R6" t="s">
        <v>45</v>
      </c>
      <c r="S6" s="32">
        <v>2950000</v>
      </c>
      <c r="T6" s="1"/>
      <c r="U6" s="14" t="s">
        <v>0</v>
      </c>
      <c r="V6" s="16" t="s">
        <v>108</v>
      </c>
      <c r="W6" s="17" t="s">
        <v>109</v>
      </c>
      <c r="X6" s="12"/>
      <c r="AB6" s="12"/>
    </row>
    <row r="7" spans="1:28" ht="12.75" x14ac:dyDescent="0.2">
      <c r="A7" s="36" t="s">
        <v>17</v>
      </c>
      <c r="B7">
        <v>17</v>
      </c>
      <c r="C7" t="s">
        <v>46</v>
      </c>
      <c r="D7" t="s">
        <v>19</v>
      </c>
      <c r="E7" t="s">
        <v>20</v>
      </c>
      <c r="F7" t="s">
        <v>33</v>
      </c>
      <c r="G7" s="37">
        <v>1100000</v>
      </c>
      <c r="H7" s="37">
        <v>610000</v>
      </c>
      <c r="I7" s="37">
        <f t="shared" si="0"/>
        <v>490000</v>
      </c>
      <c r="J7" s="37">
        <f>_xlfn.XLOOKUP(Fichajes[[#This Row],[Nombre]],Ventas[Nombre],Ventas[Precio],0,0,1)</f>
        <v>1400000</v>
      </c>
      <c r="K7" s="37">
        <f t="shared" si="1"/>
        <v>790000</v>
      </c>
      <c r="L7" s="37">
        <v>500</v>
      </c>
      <c r="M7" t="s">
        <v>22</v>
      </c>
      <c r="N7" t="s">
        <v>47</v>
      </c>
      <c r="O7" s="43" t="s">
        <v>48</v>
      </c>
      <c r="P7" s="1"/>
      <c r="Q7" s="13" t="s">
        <v>17</v>
      </c>
      <c r="R7" t="s">
        <v>49</v>
      </c>
      <c r="S7" s="32">
        <v>1450000</v>
      </c>
      <c r="T7" s="1"/>
      <c r="U7" s="15" t="s">
        <v>173</v>
      </c>
      <c r="V7" s="18">
        <f>SUMIF(Ventas[Temporada],U7,Ventas[Precio])</f>
        <v>267400000</v>
      </c>
      <c r="W7" s="19">
        <f>SUMIF(Fichajes[Temporada],U7,Fichajes[Precio fichaje])</f>
        <v>300800000</v>
      </c>
      <c r="AB7" s="12"/>
    </row>
    <row r="8" spans="1:28" ht="12.75" x14ac:dyDescent="0.2">
      <c r="A8" s="36" t="s">
        <v>17</v>
      </c>
      <c r="B8">
        <v>30</v>
      </c>
      <c r="C8" t="s">
        <v>50</v>
      </c>
      <c r="D8" t="s">
        <v>51</v>
      </c>
      <c r="E8" t="s">
        <v>52</v>
      </c>
      <c r="F8" t="s">
        <v>21</v>
      </c>
      <c r="G8" s="37">
        <v>850000</v>
      </c>
      <c r="H8" s="37">
        <v>690000</v>
      </c>
      <c r="I8" s="37">
        <f t="shared" si="0"/>
        <v>160000</v>
      </c>
      <c r="J8" s="37">
        <f>_xlfn.XLOOKUP(Fichajes[[#This Row],[Nombre]],Ventas[Nombre],Ventas[Precio],0,0,1)</f>
        <v>0</v>
      </c>
      <c r="K8" s="37">
        <f t="shared" si="1"/>
        <v>-690000</v>
      </c>
      <c r="L8" s="37">
        <v>3500</v>
      </c>
      <c r="M8" t="s">
        <v>53</v>
      </c>
      <c r="N8" t="s">
        <v>54</v>
      </c>
      <c r="O8" s="43" t="s">
        <v>55</v>
      </c>
      <c r="P8" s="1"/>
      <c r="Q8" s="13" t="s">
        <v>17</v>
      </c>
      <c r="R8" t="s">
        <v>56</v>
      </c>
      <c r="S8" s="32">
        <v>525000</v>
      </c>
      <c r="T8" s="1"/>
      <c r="U8" s="1"/>
      <c r="AB8" s="12"/>
    </row>
    <row r="9" spans="1:28" ht="12.75" x14ac:dyDescent="0.2">
      <c r="A9" s="36" t="s">
        <v>57</v>
      </c>
      <c r="B9">
        <v>25</v>
      </c>
      <c r="C9" t="s">
        <v>58</v>
      </c>
      <c r="D9" t="s">
        <v>59</v>
      </c>
      <c r="E9" t="s">
        <v>42</v>
      </c>
      <c r="F9" t="s">
        <v>21</v>
      </c>
      <c r="G9" s="37">
        <v>18500000</v>
      </c>
      <c r="H9" s="37">
        <v>10000000</v>
      </c>
      <c r="I9" s="37">
        <f t="shared" si="0"/>
        <v>8500000</v>
      </c>
      <c r="J9" s="37">
        <f>_xlfn.XLOOKUP(Fichajes[[#This Row],[Nombre]],Ventas[Nombre],Ventas[Precio],0,0,1)</f>
        <v>0</v>
      </c>
      <c r="K9" s="37">
        <f t="shared" si="1"/>
        <v>-10000000</v>
      </c>
      <c r="L9" s="37">
        <v>50000</v>
      </c>
      <c r="M9" t="s">
        <v>22</v>
      </c>
      <c r="N9" t="s">
        <v>43</v>
      </c>
      <c r="O9" s="43" t="s">
        <v>60</v>
      </c>
      <c r="P9" s="1"/>
      <c r="Q9" s="13" t="s">
        <v>57</v>
      </c>
      <c r="R9" t="s">
        <v>61</v>
      </c>
      <c r="S9" s="32">
        <v>3490000</v>
      </c>
      <c r="T9" s="1"/>
      <c r="U9" s="1"/>
      <c r="AB9" s="12"/>
    </row>
    <row r="10" spans="1:28" ht="12.75" x14ac:dyDescent="0.2">
      <c r="A10" s="36" t="s">
        <v>57</v>
      </c>
      <c r="B10">
        <v>18</v>
      </c>
      <c r="C10" t="s">
        <v>62</v>
      </c>
      <c r="D10" t="s">
        <v>63</v>
      </c>
      <c r="E10" t="s">
        <v>52</v>
      </c>
      <c r="F10" t="s">
        <v>33</v>
      </c>
      <c r="G10" s="37">
        <v>6500000</v>
      </c>
      <c r="H10" s="37">
        <v>0</v>
      </c>
      <c r="I10" s="37">
        <f t="shared" si="0"/>
        <v>6500000</v>
      </c>
      <c r="J10" s="37">
        <f>_xlfn.XLOOKUP(Fichajes[[#This Row],[Nombre]],Ventas[Nombre],Ventas[Precio],0,0,1)</f>
        <v>0</v>
      </c>
      <c r="K10" s="37">
        <f t="shared" si="1"/>
        <v>0</v>
      </c>
      <c r="L10" s="37">
        <v>10001</v>
      </c>
      <c r="M10" t="s">
        <v>22</v>
      </c>
      <c r="N10" t="s">
        <v>54</v>
      </c>
      <c r="O10" s="43" t="s">
        <v>64</v>
      </c>
      <c r="P10" s="1"/>
      <c r="Q10" s="13" t="s">
        <v>57</v>
      </c>
      <c r="R10" t="s">
        <v>65</v>
      </c>
      <c r="S10" s="32">
        <v>2550000</v>
      </c>
      <c r="T10" s="1"/>
      <c r="U10" s="1"/>
      <c r="AB10" s="12"/>
    </row>
    <row r="11" spans="1:28" ht="12.75" x14ac:dyDescent="0.2">
      <c r="A11" s="36" t="s">
        <v>57</v>
      </c>
      <c r="B11">
        <v>21</v>
      </c>
      <c r="C11" t="s">
        <v>66</v>
      </c>
      <c r="D11" t="s">
        <v>67</v>
      </c>
      <c r="E11" t="s">
        <v>32</v>
      </c>
      <c r="F11" t="s">
        <v>33</v>
      </c>
      <c r="G11" s="37">
        <v>12000000</v>
      </c>
      <c r="H11" s="37">
        <v>10000000</v>
      </c>
      <c r="I11" s="37">
        <f t="shared" si="0"/>
        <v>2000000</v>
      </c>
      <c r="J11" s="37">
        <f>_xlfn.XLOOKUP(Fichajes[[#This Row],[Nombre]],Ventas[Nombre],Ventas[Precio],0,0,1)</f>
        <v>42500000</v>
      </c>
      <c r="K11" s="37">
        <f t="shared" si="1"/>
        <v>32500000</v>
      </c>
      <c r="L11" s="37">
        <v>40000</v>
      </c>
      <c r="M11" t="s">
        <v>22</v>
      </c>
      <c r="N11" t="s">
        <v>23</v>
      </c>
      <c r="O11" s="43" t="s">
        <v>68</v>
      </c>
      <c r="P11" s="1"/>
      <c r="Q11" s="13" t="s">
        <v>57</v>
      </c>
      <c r="R11" t="s">
        <v>69</v>
      </c>
      <c r="S11" s="32">
        <v>2300000</v>
      </c>
      <c r="T11" s="1"/>
      <c r="U11" s="1"/>
    </row>
    <row r="12" spans="1:28" ht="12.75" x14ac:dyDescent="0.2">
      <c r="A12" s="36" t="s">
        <v>57</v>
      </c>
      <c r="B12">
        <v>22</v>
      </c>
      <c r="C12" t="s">
        <v>70</v>
      </c>
      <c r="D12" t="s">
        <v>71</v>
      </c>
      <c r="E12" t="s">
        <v>72</v>
      </c>
      <c r="F12" t="s">
        <v>21</v>
      </c>
      <c r="G12" s="37">
        <v>5000000</v>
      </c>
      <c r="H12" s="37">
        <v>0</v>
      </c>
      <c r="I12" s="37">
        <f t="shared" si="0"/>
        <v>5000000</v>
      </c>
      <c r="J12" s="37">
        <f>_xlfn.XLOOKUP(Fichajes[[#This Row],[Nombre]],Ventas[Nombre],Ventas[Precio],0,0,1)</f>
        <v>0</v>
      </c>
      <c r="K12" s="37">
        <f t="shared" si="1"/>
        <v>0</v>
      </c>
      <c r="L12" s="37">
        <v>15000</v>
      </c>
      <c r="M12" t="s">
        <v>22</v>
      </c>
      <c r="N12" t="s">
        <v>54</v>
      </c>
      <c r="O12" s="43" t="s">
        <v>64</v>
      </c>
      <c r="P12" s="1"/>
      <c r="Q12" s="13" t="s">
        <v>57</v>
      </c>
      <c r="R12" t="s">
        <v>73</v>
      </c>
      <c r="S12" s="32">
        <v>9000000</v>
      </c>
      <c r="T12" s="1"/>
      <c r="U12" s="1"/>
    </row>
    <row r="13" spans="1:28" ht="12.75" x14ac:dyDescent="0.2">
      <c r="A13" s="36" t="s">
        <v>57</v>
      </c>
      <c r="B13">
        <v>31</v>
      </c>
      <c r="C13" t="s">
        <v>74</v>
      </c>
      <c r="D13" t="s">
        <v>31</v>
      </c>
      <c r="E13" t="s">
        <v>72</v>
      </c>
      <c r="F13" t="s">
        <v>21</v>
      </c>
      <c r="G13" s="37">
        <v>14500000</v>
      </c>
      <c r="H13" s="37">
        <v>0</v>
      </c>
      <c r="I13" s="37">
        <f t="shared" si="0"/>
        <v>14500000</v>
      </c>
      <c r="J13" s="37">
        <f>_xlfn.XLOOKUP(Fichajes[[#This Row],[Nombre]],Ventas[Nombre],Ventas[Precio],0,0,1)</f>
        <v>22000000</v>
      </c>
      <c r="K13" s="37">
        <f t="shared" si="1"/>
        <v>22000000</v>
      </c>
      <c r="L13" s="37">
        <v>27000</v>
      </c>
      <c r="M13" t="s">
        <v>75</v>
      </c>
      <c r="N13" t="s">
        <v>43</v>
      </c>
      <c r="O13" s="43" t="s">
        <v>64</v>
      </c>
      <c r="P13" s="1"/>
      <c r="Q13" s="13" t="s">
        <v>57</v>
      </c>
      <c r="R13" t="s">
        <v>76</v>
      </c>
      <c r="S13" s="32">
        <v>3500000</v>
      </c>
      <c r="T13" s="1"/>
      <c r="U13" s="1"/>
    </row>
    <row r="14" spans="1:28" ht="12.75" x14ac:dyDescent="0.2">
      <c r="A14" s="36" t="s">
        <v>57</v>
      </c>
      <c r="B14">
        <v>31</v>
      </c>
      <c r="C14" t="s">
        <v>77</v>
      </c>
      <c r="D14" t="s">
        <v>19</v>
      </c>
      <c r="E14" t="s">
        <v>20</v>
      </c>
      <c r="F14" t="s">
        <v>33</v>
      </c>
      <c r="G14" s="37">
        <v>1300000</v>
      </c>
      <c r="H14" s="37">
        <v>0</v>
      </c>
      <c r="I14" s="37">
        <f t="shared" si="0"/>
        <v>1300000</v>
      </c>
      <c r="J14" s="37">
        <f>_xlfn.XLOOKUP(Fichajes[[#This Row],[Nombre]],Ventas[Nombre],Ventas[Precio],0,0,1)</f>
        <v>1850000</v>
      </c>
      <c r="K14" s="37">
        <f t="shared" si="1"/>
        <v>1850000</v>
      </c>
      <c r="L14" s="37">
        <v>13500</v>
      </c>
      <c r="M14" t="s">
        <v>75</v>
      </c>
      <c r="N14" t="s">
        <v>54</v>
      </c>
      <c r="O14" s="43" t="s">
        <v>64</v>
      </c>
      <c r="P14" s="1"/>
      <c r="Q14" s="13" t="s">
        <v>57</v>
      </c>
      <c r="R14" t="s">
        <v>78</v>
      </c>
      <c r="S14" s="32">
        <v>2350000</v>
      </c>
      <c r="T14" s="1"/>
      <c r="U14" s="1"/>
    </row>
    <row r="15" spans="1:28" ht="12.75" x14ac:dyDescent="0.2">
      <c r="A15" s="36" t="s">
        <v>57</v>
      </c>
      <c r="B15">
        <v>20</v>
      </c>
      <c r="C15" t="s">
        <v>79</v>
      </c>
      <c r="D15" t="s">
        <v>80</v>
      </c>
      <c r="E15" t="s">
        <v>20</v>
      </c>
      <c r="F15" t="s">
        <v>33</v>
      </c>
      <c r="G15" s="37">
        <v>6000000</v>
      </c>
      <c r="H15" s="37">
        <v>6200000</v>
      </c>
      <c r="I15" s="37">
        <f t="shared" si="0"/>
        <v>-200000</v>
      </c>
      <c r="J15" s="37">
        <f>_xlfn.XLOOKUP(Fichajes[[#This Row],[Nombre]],Ventas[Nombre],Ventas[Precio],0,0,1)</f>
        <v>0</v>
      </c>
      <c r="K15" s="37">
        <f t="shared" si="1"/>
        <v>-6200000</v>
      </c>
      <c r="L15" s="37">
        <v>16000</v>
      </c>
      <c r="M15" t="s">
        <v>22</v>
      </c>
      <c r="N15" t="s">
        <v>54</v>
      </c>
      <c r="O15" s="43" t="s">
        <v>81</v>
      </c>
      <c r="P15" s="1"/>
      <c r="Q15" s="13" t="s">
        <v>57</v>
      </c>
      <c r="R15" t="s">
        <v>82</v>
      </c>
      <c r="S15" s="32">
        <v>150000</v>
      </c>
      <c r="T15" s="1"/>
      <c r="U15" s="1"/>
    </row>
    <row r="16" spans="1:28" ht="12.75" x14ac:dyDescent="0.2">
      <c r="A16" s="36" t="s">
        <v>57</v>
      </c>
      <c r="B16">
        <v>21</v>
      </c>
      <c r="C16" t="s">
        <v>83</v>
      </c>
      <c r="D16" t="s">
        <v>84</v>
      </c>
      <c r="E16" t="s">
        <v>85</v>
      </c>
      <c r="F16" t="s">
        <v>21</v>
      </c>
      <c r="G16" s="37">
        <v>13500000</v>
      </c>
      <c r="H16" s="37">
        <v>3850000</v>
      </c>
      <c r="I16" s="37">
        <f t="shared" si="0"/>
        <v>9650000</v>
      </c>
      <c r="J16" s="37">
        <f>_xlfn.XLOOKUP(Fichajes[[#This Row],[Nombre]],Ventas[Nombre],Ventas[Precio],0,0,1)</f>
        <v>0</v>
      </c>
      <c r="K16" s="37">
        <f t="shared" si="1"/>
        <v>-3850000</v>
      </c>
      <c r="L16" s="37">
        <v>20569</v>
      </c>
      <c r="M16" t="s">
        <v>22</v>
      </c>
      <c r="N16" t="s">
        <v>23</v>
      </c>
      <c r="O16" s="43" t="s">
        <v>28</v>
      </c>
      <c r="P16" s="1"/>
      <c r="Q16" s="13" t="s">
        <v>57</v>
      </c>
      <c r="R16" t="s">
        <v>86</v>
      </c>
      <c r="S16" s="32">
        <v>910000</v>
      </c>
      <c r="T16" s="1"/>
      <c r="U16" s="1"/>
    </row>
    <row r="17" spans="1:21" ht="12.75" x14ac:dyDescent="0.2">
      <c r="A17" s="36" t="s">
        <v>57</v>
      </c>
      <c r="B17">
        <v>20</v>
      </c>
      <c r="C17" t="s">
        <v>87</v>
      </c>
      <c r="D17" t="s">
        <v>19</v>
      </c>
      <c r="E17" t="s">
        <v>88</v>
      </c>
      <c r="F17" t="s">
        <v>21</v>
      </c>
      <c r="G17" s="37">
        <v>31000000</v>
      </c>
      <c r="H17" s="37">
        <v>25400000</v>
      </c>
      <c r="I17" s="37">
        <f t="shared" si="0"/>
        <v>5600000</v>
      </c>
      <c r="J17" s="37">
        <f>_xlfn.XLOOKUP(Fichajes[[#This Row],[Nombre]],Ventas[Nombre],Ventas[Precio],0,0,1)</f>
        <v>95500000</v>
      </c>
      <c r="K17" s="37">
        <f t="shared" si="1"/>
        <v>70100000</v>
      </c>
      <c r="L17" s="37">
        <v>30000</v>
      </c>
      <c r="M17" t="s">
        <v>22</v>
      </c>
      <c r="N17" t="s">
        <v>23</v>
      </c>
      <c r="O17" s="43" t="s">
        <v>89</v>
      </c>
      <c r="P17" s="1"/>
      <c r="Q17" s="13" t="s">
        <v>57</v>
      </c>
      <c r="R17" t="s">
        <v>90</v>
      </c>
      <c r="S17" s="32">
        <v>6000000</v>
      </c>
      <c r="T17" s="1"/>
      <c r="U17" s="1"/>
    </row>
    <row r="18" spans="1:21" ht="12.75" x14ac:dyDescent="0.2">
      <c r="A18" s="36" t="s">
        <v>107</v>
      </c>
      <c r="B18">
        <v>23</v>
      </c>
      <c r="C18" t="s">
        <v>119</v>
      </c>
      <c r="D18" t="s">
        <v>84</v>
      </c>
      <c r="E18" t="s">
        <v>38</v>
      </c>
      <c r="F18" t="s">
        <v>21</v>
      </c>
      <c r="G18" s="37">
        <v>41500000</v>
      </c>
      <c r="H18" s="37">
        <v>40000000</v>
      </c>
      <c r="I18" s="37">
        <f t="shared" ref="I18:I24" si="2">G18-H18</f>
        <v>1500000</v>
      </c>
      <c r="J18" s="37">
        <f>_xlfn.XLOOKUP(Fichajes[[#This Row],[Nombre]],Ventas[Nombre],Ventas[Precio],0,0,1)</f>
        <v>0</v>
      </c>
      <c r="K18" s="37">
        <f t="shared" ref="K18:K24" si="3">J18-H18</f>
        <v>-40000000</v>
      </c>
      <c r="L18" s="37">
        <v>55000</v>
      </c>
      <c r="M18" t="s">
        <v>22</v>
      </c>
      <c r="N18" t="s">
        <v>43</v>
      </c>
      <c r="O18" s="43" t="s">
        <v>120</v>
      </c>
      <c r="P18" s="1"/>
      <c r="Q18" s="13" t="s">
        <v>57</v>
      </c>
      <c r="R18" t="s">
        <v>91</v>
      </c>
      <c r="S18" s="32">
        <v>1750000</v>
      </c>
      <c r="T18" s="1"/>
      <c r="U18" s="1"/>
    </row>
    <row r="19" spans="1:21" ht="12.75" x14ac:dyDescent="0.2">
      <c r="A19" s="36" t="s">
        <v>107</v>
      </c>
      <c r="B19">
        <v>30</v>
      </c>
      <c r="C19" t="s">
        <v>136</v>
      </c>
      <c r="D19" t="s">
        <v>80</v>
      </c>
      <c r="E19" t="s">
        <v>42</v>
      </c>
      <c r="F19" t="s">
        <v>21</v>
      </c>
      <c r="G19" s="37">
        <v>20000000</v>
      </c>
      <c r="H19" s="37">
        <v>0</v>
      </c>
      <c r="I19" s="37">
        <f t="shared" si="2"/>
        <v>20000000</v>
      </c>
      <c r="J19" s="37">
        <f>_xlfn.XLOOKUP(Fichajes[[#This Row],[Nombre]],Ventas[Nombre],Ventas[Precio],0,0,1)</f>
        <v>25000000</v>
      </c>
      <c r="K19" s="37">
        <f t="shared" si="3"/>
        <v>25000000</v>
      </c>
      <c r="L19" s="37">
        <v>51000</v>
      </c>
      <c r="M19" t="s">
        <v>75</v>
      </c>
      <c r="N19" t="s">
        <v>23</v>
      </c>
      <c r="O19" s="43" t="s">
        <v>64</v>
      </c>
      <c r="P19" s="1"/>
      <c r="Q19" s="13" t="s">
        <v>57</v>
      </c>
      <c r="R19" t="s">
        <v>92</v>
      </c>
      <c r="S19" s="32">
        <v>8500000</v>
      </c>
      <c r="T19" s="1"/>
      <c r="U19" s="1"/>
    </row>
    <row r="20" spans="1:21" ht="12.75" x14ac:dyDescent="0.2">
      <c r="A20" s="36" t="s">
        <v>107</v>
      </c>
      <c r="B20">
        <v>21</v>
      </c>
      <c r="C20" t="s">
        <v>137</v>
      </c>
      <c r="D20" t="s">
        <v>19</v>
      </c>
      <c r="E20" t="s">
        <v>32</v>
      </c>
      <c r="F20" t="s">
        <v>33</v>
      </c>
      <c r="G20" s="37">
        <v>55000000</v>
      </c>
      <c r="H20" s="37">
        <v>62000000</v>
      </c>
      <c r="I20" s="37">
        <f t="shared" si="2"/>
        <v>-7000000</v>
      </c>
      <c r="J20" s="37">
        <f>_xlfn.XLOOKUP(Fichajes[[#This Row],[Nombre]],Ventas[Nombre],Ventas[Precio],0,0,1)</f>
        <v>0</v>
      </c>
      <c r="K20" s="37">
        <f t="shared" si="3"/>
        <v>-62000000</v>
      </c>
      <c r="L20" s="37">
        <v>48000</v>
      </c>
      <c r="M20" t="s">
        <v>22</v>
      </c>
      <c r="N20" t="s">
        <v>43</v>
      </c>
      <c r="O20" s="43" t="s">
        <v>138</v>
      </c>
      <c r="P20" s="1"/>
      <c r="Q20" s="13" t="s">
        <v>57</v>
      </c>
      <c r="R20" t="s">
        <v>41</v>
      </c>
      <c r="S20" s="32">
        <v>11000000</v>
      </c>
      <c r="T20" s="1"/>
      <c r="U20" s="1"/>
    </row>
    <row r="21" spans="1:21" ht="12.75" x14ac:dyDescent="0.2">
      <c r="A21" s="36" t="s">
        <v>107</v>
      </c>
      <c r="B21">
        <v>21</v>
      </c>
      <c r="C21" t="s">
        <v>141</v>
      </c>
      <c r="D21" t="s">
        <v>19</v>
      </c>
      <c r="E21" t="s">
        <v>42</v>
      </c>
      <c r="F21" t="s">
        <v>21</v>
      </c>
      <c r="G21" s="37">
        <v>52000000</v>
      </c>
      <c r="H21" s="37">
        <v>58300000</v>
      </c>
      <c r="I21" s="37">
        <f t="shared" si="2"/>
        <v>-6300000</v>
      </c>
      <c r="J21" s="37">
        <f>_xlfn.XLOOKUP(Fichajes[[#This Row],[Nombre]],Ventas[Nombre],Ventas[Precio],0,0,1)</f>
        <v>0</v>
      </c>
      <c r="K21" s="37">
        <f t="shared" si="3"/>
        <v>-58300000</v>
      </c>
      <c r="L21" s="37">
        <v>40000</v>
      </c>
      <c r="M21" t="s">
        <v>22</v>
      </c>
      <c r="N21" t="s">
        <v>23</v>
      </c>
      <c r="O21" s="43" t="s">
        <v>139</v>
      </c>
      <c r="Q21" s="13" t="s">
        <v>57</v>
      </c>
      <c r="R21" t="s">
        <v>93</v>
      </c>
      <c r="S21" s="32">
        <v>1800000</v>
      </c>
    </row>
    <row r="22" spans="1:21" ht="12.75" x14ac:dyDescent="0.2">
      <c r="A22" s="36" t="s">
        <v>107</v>
      </c>
      <c r="B22">
        <v>28</v>
      </c>
      <c r="C22" t="s">
        <v>142</v>
      </c>
      <c r="D22" t="s">
        <v>19</v>
      </c>
      <c r="E22" t="s">
        <v>72</v>
      </c>
      <c r="F22" t="s">
        <v>21</v>
      </c>
      <c r="G22" s="37">
        <v>74000000</v>
      </c>
      <c r="H22" s="37">
        <v>66000000</v>
      </c>
      <c r="I22" s="37">
        <f t="shared" si="2"/>
        <v>8000000</v>
      </c>
      <c r="J22" s="37">
        <f>_xlfn.XLOOKUP(Fichajes[[#This Row],[Nombre]],Ventas[Nombre],Ventas[Precio],0,0,1)</f>
        <v>126000000</v>
      </c>
      <c r="K22" s="37">
        <f t="shared" si="3"/>
        <v>60000000</v>
      </c>
      <c r="L22" s="37">
        <v>100000</v>
      </c>
      <c r="M22" t="s">
        <v>27</v>
      </c>
      <c r="N22" t="s">
        <v>43</v>
      </c>
      <c r="O22" s="43" t="s">
        <v>143</v>
      </c>
      <c r="Q22" s="13" t="s">
        <v>57</v>
      </c>
      <c r="R22" t="s">
        <v>94</v>
      </c>
      <c r="S22" s="32">
        <v>4100000</v>
      </c>
    </row>
    <row r="23" spans="1:21" ht="12.75" x14ac:dyDescent="0.2">
      <c r="A23" s="36" t="s">
        <v>107</v>
      </c>
      <c r="B23">
        <v>32</v>
      </c>
      <c r="C23" s="12" t="s">
        <v>145</v>
      </c>
      <c r="D23" s="12" t="s">
        <v>84</v>
      </c>
      <c r="E23" t="s">
        <v>32</v>
      </c>
      <c r="F23" t="s">
        <v>33</v>
      </c>
      <c r="G23" s="37">
        <v>3900000</v>
      </c>
      <c r="H23" s="37">
        <v>0</v>
      </c>
      <c r="I23" s="37">
        <f t="shared" si="2"/>
        <v>3900000</v>
      </c>
      <c r="J23" s="38">
        <f>_xlfn.XLOOKUP(Fichajes[[#This Row],[Nombre]],Ventas[Nombre],Ventas[Precio],0,0,1)</f>
        <v>3450000</v>
      </c>
      <c r="K23" s="38">
        <f t="shared" si="3"/>
        <v>3450000</v>
      </c>
      <c r="L23" s="37">
        <v>33500</v>
      </c>
      <c r="M23" s="12" t="s">
        <v>53</v>
      </c>
      <c r="N23" s="12" t="s">
        <v>54</v>
      </c>
      <c r="O23" s="44" t="s">
        <v>64</v>
      </c>
      <c r="Q23" s="13" t="s">
        <v>57</v>
      </c>
      <c r="R23" t="s">
        <v>95</v>
      </c>
      <c r="S23" s="32">
        <v>1800000</v>
      </c>
    </row>
    <row r="24" spans="1:21" ht="12.75" x14ac:dyDescent="0.2">
      <c r="A24" s="36" t="s">
        <v>173</v>
      </c>
      <c r="B24" s="33">
        <v>24</v>
      </c>
      <c r="C24" s="34" t="s">
        <v>174</v>
      </c>
      <c r="D24" s="34" t="s">
        <v>175</v>
      </c>
      <c r="E24" t="s">
        <v>85</v>
      </c>
      <c r="F24" t="s">
        <v>21</v>
      </c>
      <c r="G24" s="37">
        <v>43500000</v>
      </c>
      <c r="H24" s="37">
        <v>37400000</v>
      </c>
      <c r="I24" s="37">
        <f t="shared" si="2"/>
        <v>6100000</v>
      </c>
      <c r="J24" s="38">
        <f>_xlfn.XLOOKUP(Fichajes[[#This Row],[Nombre]],Ventas[Nombre],Ventas[Precio],0,0,1)</f>
        <v>0</v>
      </c>
      <c r="K24" s="38">
        <f t="shared" si="3"/>
        <v>-37400000</v>
      </c>
      <c r="L24" s="37">
        <v>40500</v>
      </c>
      <c r="M24" s="12" t="s">
        <v>27</v>
      </c>
      <c r="N24" s="12" t="s">
        <v>23</v>
      </c>
      <c r="O24" s="45" t="s">
        <v>176</v>
      </c>
      <c r="Q24" s="52" t="s">
        <v>107</v>
      </c>
      <c r="R24" s="1" t="s">
        <v>105</v>
      </c>
      <c r="S24" s="9">
        <v>8000000</v>
      </c>
    </row>
    <row r="25" spans="1:21" ht="12.75" x14ac:dyDescent="0.2">
      <c r="A25" s="36" t="s">
        <v>173</v>
      </c>
      <c r="B25" s="33">
        <v>30</v>
      </c>
      <c r="C25" s="34" t="s">
        <v>177</v>
      </c>
      <c r="D25" s="34" t="s">
        <v>19</v>
      </c>
      <c r="E25" t="s">
        <v>38</v>
      </c>
      <c r="F25" t="s">
        <v>21</v>
      </c>
      <c r="G25" s="37">
        <v>25500000</v>
      </c>
      <c r="H25" s="37">
        <v>0</v>
      </c>
      <c r="I25" s="37">
        <f>G25-H25</f>
        <v>25500000</v>
      </c>
      <c r="J25" s="38">
        <f>_xlfn.XLOOKUP(Fichajes[[#This Row],[Nombre]],Ventas[Nombre],Ventas[Precio],0,0,1)</f>
        <v>0</v>
      </c>
      <c r="K25" s="38">
        <f>J25-H25</f>
        <v>0</v>
      </c>
      <c r="L25" s="37">
        <v>55000</v>
      </c>
      <c r="M25" t="s">
        <v>75</v>
      </c>
      <c r="N25" t="s">
        <v>23</v>
      </c>
      <c r="O25" s="45" t="s">
        <v>64</v>
      </c>
      <c r="Q25" s="52" t="s">
        <v>107</v>
      </c>
      <c r="R25" s="1" t="s">
        <v>127</v>
      </c>
      <c r="S25" s="9">
        <v>1550000</v>
      </c>
    </row>
    <row r="26" spans="1:21" ht="12.75" x14ac:dyDescent="0.2">
      <c r="A26" s="36" t="s">
        <v>173</v>
      </c>
      <c r="B26" s="33">
        <v>24</v>
      </c>
      <c r="C26" s="34" t="s">
        <v>178</v>
      </c>
      <c r="D26" s="34" t="s">
        <v>67</v>
      </c>
      <c r="E26" t="s">
        <v>72</v>
      </c>
      <c r="F26" t="s">
        <v>21</v>
      </c>
      <c r="G26" s="37">
        <v>61500000</v>
      </c>
      <c r="H26" s="37">
        <v>69000000</v>
      </c>
      <c r="I26" s="37">
        <f>G26-H26</f>
        <v>-7500000</v>
      </c>
      <c r="J26" s="38">
        <f>_xlfn.XLOOKUP(Fichajes[[#This Row],[Nombre]],Ventas[Nombre],Ventas[Precio],0,0,1)</f>
        <v>0</v>
      </c>
      <c r="K26" s="38">
        <f>J26-H26</f>
        <v>-69000000</v>
      </c>
      <c r="L26" s="37">
        <v>65000</v>
      </c>
      <c r="M26" t="s">
        <v>22</v>
      </c>
      <c r="N26" t="s">
        <v>23</v>
      </c>
      <c r="O26" s="45" t="s">
        <v>179</v>
      </c>
      <c r="Q26" s="52" t="s">
        <v>107</v>
      </c>
      <c r="R26" s="1" t="s">
        <v>74</v>
      </c>
      <c r="S26" s="9">
        <v>22000000</v>
      </c>
    </row>
    <row r="27" spans="1:21" ht="12.75" x14ac:dyDescent="0.2">
      <c r="A27" s="36" t="s">
        <v>173</v>
      </c>
      <c r="B27">
        <v>27</v>
      </c>
      <c r="C27" t="s">
        <v>186</v>
      </c>
      <c r="D27" t="s">
        <v>80</v>
      </c>
      <c r="E27" t="s">
        <v>20</v>
      </c>
      <c r="F27" t="s">
        <v>21</v>
      </c>
      <c r="G27" s="37">
        <v>84000000</v>
      </c>
      <c r="H27" s="37">
        <v>70000000</v>
      </c>
      <c r="I27" s="38">
        <f t="shared" ref="I27:I29" si="4">G27-H27</f>
        <v>14000000</v>
      </c>
      <c r="J27" s="38">
        <f>_xlfn.XLOOKUP(Fichajes[[#This Row],[Nombre]],Ventas[Nombre],Ventas[Precio],0,0,1)</f>
        <v>0</v>
      </c>
      <c r="K27" s="38">
        <f t="shared" ref="K27:K29" si="5">J27-H27</f>
        <v>-70000000</v>
      </c>
      <c r="L27" s="37">
        <v>135000</v>
      </c>
      <c r="M27" t="s">
        <v>27</v>
      </c>
      <c r="N27" t="s">
        <v>43</v>
      </c>
      <c r="O27" s="43" t="s">
        <v>138</v>
      </c>
      <c r="Q27" s="52" t="s">
        <v>107</v>
      </c>
      <c r="R27" s="1" t="s">
        <v>128</v>
      </c>
      <c r="S27" s="9">
        <v>4650000</v>
      </c>
    </row>
    <row r="28" spans="1:21" ht="12.75" x14ac:dyDescent="0.2">
      <c r="A28" s="36" t="s">
        <v>173</v>
      </c>
      <c r="B28">
        <v>22</v>
      </c>
      <c r="C28" t="s">
        <v>187</v>
      </c>
      <c r="D28" t="s">
        <v>188</v>
      </c>
      <c r="E28" t="s">
        <v>32</v>
      </c>
      <c r="F28" t="s">
        <v>33</v>
      </c>
      <c r="G28" s="37">
        <v>28500000</v>
      </c>
      <c r="H28" s="37">
        <v>36000000</v>
      </c>
      <c r="I28" s="38">
        <f t="shared" si="4"/>
        <v>-7500000</v>
      </c>
      <c r="J28" s="38">
        <f>_xlfn.XLOOKUP(Fichajes[[#This Row],[Nombre]],Ventas[Nombre],Ventas[Precio],0,0,1)</f>
        <v>0</v>
      </c>
      <c r="K28" s="38">
        <f t="shared" si="5"/>
        <v>-36000000</v>
      </c>
      <c r="L28" s="37">
        <v>45000</v>
      </c>
      <c r="M28" t="s">
        <v>75</v>
      </c>
      <c r="N28" t="s">
        <v>47</v>
      </c>
      <c r="O28" s="43" t="s">
        <v>190</v>
      </c>
      <c r="Q28" s="52" t="s">
        <v>107</v>
      </c>
      <c r="R28" s="1" t="s">
        <v>129</v>
      </c>
      <c r="S28" s="9">
        <v>1850000</v>
      </c>
    </row>
    <row r="29" spans="1:21" ht="12.75" x14ac:dyDescent="0.2">
      <c r="A29" s="46" t="s">
        <v>173</v>
      </c>
      <c r="B29" s="47">
        <v>28</v>
      </c>
      <c r="C29" s="47" t="s">
        <v>191</v>
      </c>
      <c r="D29" s="47" t="s">
        <v>84</v>
      </c>
      <c r="E29" s="47" t="s">
        <v>192</v>
      </c>
      <c r="F29" s="47" t="s">
        <v>21</v>
      </c>
      <c r="G29" s="48">
        <v>105000000</v>
      </c>
      <c r="H29" s="48">
        <v>88400000</v>
      </c>
      <c r="I29" s="49">
        <f t="shared" si="4"/>
        <v>16600000</v>
      </c>
      <c r="J29" s="49">
        <f>_xlfn.XLOOKUP(Fichajes[[#This Row],[Nombre]],Ventas[Nombre],Ventas[Precio],0,0,1)</f>
        <v>0</v>
      </c>
      <c r="K29" s="49">
        <f t="shared" si="5"/>
        <v>-88400000</v>
      </c>
      <c r="L29" s="48">
        <v>108000</v>
      </c>
      <c r="M29" s="47" t="s">
        <v>75</v>
      </c>
      <c r="N29" s="47" t="s">
        <v>43</v>
      </c>
      <c r="O29" s="50" t="s">
        <v>193</v>
      </c>
      <c r="Q29" s="52" t="s">
        <v>107</v>
      </c>
      <c r="R29" s="1" t="s">
        <v>130</v>
      </c>
      <c r="S29" s="9">
        <v>1700000</v>
      </c>
    </row>
    <row r="30" spans="1:21" ht="12.75" x14ac:dyDescent="0.2">
      <c r="G30" s="37"/>
      <c r="I30" s="22"/>
      <c r="J30" s="22"/>
      <c r="K30" s="22"/>
      <c r="Q30" s="52" t="s">
        <v>107</v>
      </c>
      <c r="R30" s="1" t="s">
        <v>131</v>
      </c>
      <c r="S30" s="9">
        <v>2300000</v>
      </c>
    </row>
    <row r="31" spans="1:21" ht="12.75" x14ac:dyDescent="0.2">
      <c r="I31" s="22"/>
      <c r="J31" s="22"/>
      <c r="K31" s="22"/>
      <c r="Q31" s="52" t="s">
        <v>107</v>
      </c>
      <c r="R31" s="1" t="s">
        <v>132</v>
      </c>
      <c r="S31" s="9">
        <v>7600000</v>
      </c>
    </row>
    <row r="32" spans="1:21" ht="12.75" x14ac:dyDescent="0.2">
      <c r="B32" s="33"/>
      <c r="C32" s="34"/>
      <c r="D32" s="34"/>
      <c r="E32" s="34"/>
      <c r="F32" s="34"/>
      <c r="G32" s="33"/>
      <c r="H32" s="33"/>
      <c r="I32" s="33"/>
      <c r="J32" s="34"/>
      <c r="K32" s="34"/>
      <c r="L32" s="35"/>
      <c r="M32" s="34"/>
      <c r="N32" s="34"/>
      <c r="O32" s="34"/>
      <c r="Q32" s="52" t="s">
        <v>107</v>
      </c>
      <c r="R32" s="1" t="s">
        <v>133</v>
      </c>
      <c r="S32" s="9">
        <v>4250000</v>
      </c>
    </row>
    <row r="33" spans="2:19" ht="12.75" x14ac:dyDescent="0.2">
      <c r="B33" s="33"/>
      <c r="C33" s="34"/>
      <c r="D33" s="34"/>
      <c r="E33" s="34"/>
      <c r="F33" s="34"/>
      <c r="G33" s="33"/>
      <c r="H33" s="33"/>
      <c r="I33" s="34"/>
      <c r="J33" s="34"/>
      <c r="K33" s="34"/>
      <c r="L33" s="35"/>
      <c r="M33" s="34"/>
      <c r="N33" s="34"/>
      <c r="O33" s="34"/>
      <c r="Q33" s="52" t="s">
        <v>107</v>
      </c>
      <c r="R33" s="1" t="s">
        <v>66</v>
      </c>
      <c r="S33" s="9">
        <v>42500000</v>
      </c>
    </row>
    <row r="34" spans="2:19" ht="12.75" x14ac:dyDescent="0.2">
      <c r="B34" s="33"/>
      <c r="C34" s="34"/>
      <c r="D34" s="34"/>
      <c r="E34" s="34"/>
      <c r="F34" s="34"/>
      <c r="G34" s="33"/>
      <c r="H34" s="33"/>
      <c r="I34" s="34"/>
      <c r="J34" s="34"/>
      <c r="K34" s="34"/>
      <c r="L34" s="35"/>
      <c r="M34" s="34"/>
      <c r="N34" s="34"/>
      <c r="O34" s="34"/>
      <c r="Q34" s="52" t="s">
        <v>107</v>
      </c>
      <c r="R34" s="1" t="s">
        <v>77</v>
      </c>
      <c r="S34" s="9">
        <v>1850000</v>
      </c>
    </row>
    <row r="35" spans="2:19" ht="12.75" x14ac:dyDescent="0.2">
      <c r="I35" s="22"/>
      <c r="J35" s="22"/>
      <c r="K35" s="22"/>
      <c r="Q35" s="52" t="s">
        <v>107</v>
      </c>
      <c r="R35" s="1" t="s">
        <v>134</v>
      </c>
      <c r="S35" s="9">
        <v>3000000</v>
      </c>
    </row>
    <row r="36" spans="2:19" ht="12.75" x14ac:dyDescent="0.2">
      <c r="I36" s="22"/>
      <c r="J36" s="22"/>
      <c r="K36" s="22"/>
      <c r="Q36" s="52" t="s">
        <v>107</v>
      </c>
      <c r="R36" s="1" t="s">
        <v>135</v>
      </c>
      <c r="S36" s="9">
        <v>2000000</v>
      </c>
    </row>
    <row r="37" spans="2:19" ht="12.75" x14ac:dyDescent="0.2">
      <c r="I37" s="22"/>
      <c r="J37" s="22"/>
      <c r="K37" s="22"/>
      <c r="Q37" s="52" t="s">
        <v>107</v>
      </c>
      <c r="R37" s="1" t="s">
        <v>122</v>
      </c>
      <c r="S37" s="9">
        <v>2500000</v>
      </c>
    </row>
    <row r="38" spans="2:19" ht="12.75" x14ac:dyDescent="0.2">
      <c r="I38" s="22"/>
      <c r="J38" s="22"/>
      <c r="K38" s="22"/>
      <c r="Q38" s="52" t="s">
        <v>107</v>
      </c>
      <c r="R38" s="1" t="s">
        <v>140</v>
      </c>
      <c r="S38" s="9">
        <v>7100000</v>
      </c>
    </row>
    <row r="39" spans="2:19" ht="12.75" x14ac:dyDescent="0.2">
      <c r="I39" s="22"/>
      <c r="J39" s="22"/>
      <c r="K39" s="22"/>
      <c r="Q39" s="52" t="s">
        <v>107</v>
      </c>
      <c r="R39" s="12" t="s">
        <v>36</v>
      </c>
      <c r="S39" s="9">
        <v>7500000</v>
      </c>
    </row>
    <row r="40" spans="2:19" ht="12.75" x14ac:dyDescent="0.2">
      <c r="I40" s="22"/>
      <c r="J40" s="22"/>
      <c r="K40" s="22"/>
      <c r="Q40" s="13" t="s">
        <v>107</v>
      </c>
      <c r="R40" s="12" t="s">
        <v>87</v>
      </c>
      <c r="S40" s="32">
        <v>95500000</v>
      </c>
    </row>
    <row r="41" spans="2:19" ht="12.75" x14ac:dyDescent="0.2">
      <c r="I41" s="22"/>
      <c r="J41" s="22"/>
      <c r="K41" s="22"/>
      <c r="Q41" s="13" t="s">
        <v>107</v>
      </c>
      <c r="R41" s="12" t="s">
        <v>146</v>
      </c>
      <c r="S41" s="32">
        <v>1900000</v>
      </c>
    </row>
    <row r="42" spans="2:19" ht="12.75" x14ac:dyDescent="0.2">
      <c r="I42" s="22"/>
      <c r="J42" s="22"/>
      <c r="K42" s="22"/>
      <c r="Q42" s="13" t="s">
        <v>173</v>
      </c>
      <c r="R42" s="53" t="s">
        <v>180</v>
      </c>
      <c r="S42" s="32">
        <v>5000000</v>
      </c>
    </row>
    <row r="43" spans="2:19" ht="12.75" x14ac:dyDescent="0.2">
      <c r="I43" s="22"/>
      <c r="J43" s="22"/>
      <c r="K43" s="22"/>
      <c r="Q43" s="13" t="s">
        <v>173</v>
      </c>
      <c r="R43" s="54" t="s">
        <v>170</v>
      </c>
      <c r="S43" s="32">
        <v>4500000</v>
      </c>
    </row>
    <row r="44" spans="2:19" ht="12.75" x14ac:dyDescent="0.2">
      <c r="I44" s="22"/>
      <c r="J44" s="22"/>
      <c r="K44" s="22"/>
      <c r="Q44" s="13" t="s">
        <v>173</v>
      </c>
      <c r="R44" s="53" t="s">
        <v>136</v>
      </c>
      <c r="S44" s="32">
        <v>25000000</v>
      </c>
    </row>
    <row r="45" spans="2:19" ht="12.75" x14ac:dyDescent="0.2">
      <c r="I45" s="22"/>
      <c r="J45" s="22"/>
      <c r="K45" s="22"/>
      <c r="Q45" s="13" t="s">
        <v>173</v>
      </c>
      <c r="R45" s="54" t="s">
        <v>123</v>
      </c>
      <c r="S45" s="32">
        <v>14800000</v>
      </c>
    </row>
    <row r="46" spans="2:19" ht="12.75" x14ac:dyDescent="0.2">
      <c r="I46" s="22"/>
      <c r="J46" s="22"/>
      <c r="K46" s="22"/>
      <c r="Q46" s="13" t="s">
        <v>173</v>
      </c>
      <c r="R46" s="53" t="s">
        <v>46</v>
      </c>
      <c r="S46" s="32">
        <v>1400000</v>
      </c>
    </row>
    <row r="47" spans="2:19" ht="12.75" x14ac:dyDescent="0.2">
      <c r="I47" s="22"/>
      <c r="J47" s="22"/>
      <c r="K47" s="22"/>
      <c r="Q47" s="13" t="s">
        <v>173</v>
      </c>
      <c r="R47" s="54" t="s">
        <v>181</v>
      </c>
      <c r="S47" s="32">
        <v>14500000</v>
      </c>
    </row>
    <row r="48" spans="2:19" ht="12.75" x14ac:dyDescent="0.2">
      <c r="I48" s="22"/>
      <c r="J48" s="22"/>
      <c r="K48" s="22"/>
      <c r="Q48" s="13" t="s">
        <v>173</v>
      </c>
      <c r="R48" s="53" t="s">
        <v>182</v>
      </c>
      <c r="S48" s="32">
        <v>4500000</v>
      </c>
    </row>
    <row r="49" spans="9:19" ht="12.75" x14ac:dyDescent="0.2">
      <c r="I49" s="22"/>
      <c r="J49" s="22"/>
      <c r="K49" s="22"/>
      <c r="Q49" s="13" t="s">
        <v>173</v>
      </c>
      <c r="R49" s="54" t="s">
        <v>183</v>
      </c>
      <c r="S49" s="32">
        <v>6400000</v>
      </c>
    </row>
    <row r="50" spans="9:19" ht="12.75" x14ac:dyDescent="0.2">
      <c r="K50" s="22"/>
      <c r="Q50" s="13" t="s">
        <v>173</v>
      </c>
      <c r="R50" s="53" t="s">
        <v>184</v>
      </c>
      <c r="S50" s="32">
        <v>1850000</v>
      </c>
    </row>
    <row r="51" spans="9:19" ht="12.75" x14ac:dyDescent="0.2">
      <c r="J51" s="22"/>
      <c r="K51" s="22"/>
      <c r="Q51" s="13" t="s">
        <v>173</v>
      </c>
      <c r="R51" s="54" t="s">
        <v>185</v>
      </c>
      <c r="S51" s="32">
        <v>1400000</v>
      </c>
    </row>
    <row r="52" spans="9:19" ht="12.75" x14ac:dyDescent="0.2">
      <c r="J52" s="22"/>
      <c r="K52" s="22"/>
      <c r="Q52" s="13" t="s">
        <v>173</v>
      </c>
      <c r="R52" t="s">
        <v>194</v>
      </c>
      <c r="S52" s="8">
        <v>6500000</v>
      </c>
    </row>
    <row r="53" spans="9:19" ht="12.75" x14ac:dyDescent="0.2">
      <c r="J53" s="22"/>
      <c r="K53" s="22"/>
      <c r="Q53" s="13" t="s">
        <v>173</v>
      </c>
      <c r="R53" t="s">
        <v>142</v>
      </c>
      <c r="S53" s="8">
        <v>126000000</v>
      </c>
    </row>
    <row r="54" spans="9:19" ht="12.75" x14ac:dyDescent="0.2">
      <c r="J54" s="22"/>
      <c r="K54" s="22"/>
      <c r="Q54" s="13" t="s">
        <v>173</v>
      </c>
      <c r="R54" t="s">
        <v>30</v>
      </c>
      <c r="S54" s="8">
        <v>16300000</v>
      </c>
    </row>
    <row r="55" spans="9:19" ht="12.75" x14ac:dyDescent="0.2">
      <c r="J55" s="22"/>
      <c r="K55" s="22"/>
      <c r="Q55" s="13" t="s">
        <v>173</v>
      </c>
      <c r="R55" t="s">
        <v>195</v>
      </c>
      <c r="S55" s="8">
        <v>18800000</v>
      </c>
    </row>
    <row r="56" spans="9:19" ht="12.75" x14ac:dyDescent="0.2">
      <c r="J56" s="22"/>
      <c r="K56" s="22"/>
      <c r="Q56" s="13" t="s">
        <v>173</v>
      </c>
      <c r="R56" t="s">
        <v>196</v>
      </c>
      <c r="S56" s="8">
        <v>17000000</v>
      </c>
    </row>
    <row r="57" spans="9:19" ht="12.75" x14ac:dyDescent="0.2">
      <c r="J57" s="22"/>
      <c r="K57" s="22"/>
      <c r="Q57" s="13" t="s">
        <v>173</v>
      </c>
      <c r="R57" t="s">
        <v>145</v>
      </c>
      <c r="S57" s="8">
        <v>3450000</v>
      </c>
    </row>
    <row r="58" spans="9:19" ht="12.75" x14ac:dyDescent="0.2">
      <c r="J58" s="22"/>
      <c r="K58" s="22"/>
    </row>
    <row r="59" spans="9:19" ht="12.75" x14ac:dyDescent="0.2">
      <c r="J59" s="22"/>
      <c r="K59" s="22"/>
    </row>
    <row r="60" spans="9:19" ht="12.75" x14ac:dyDescent="0.2">
      <c r="J60" s="22"/>
      <c r="K60" s="22"/>
    </row>
    <row r="61" spans="9:19" ht="12.75" x14ac:dyDescent="0.2">
      <c r="J61" s="22"/>
      <c r="K61" s="22"/>
    </row>
    <row r="62" spans="9:19" ht="12.75" x14ac:dyDescent="0.2">
      <c r="J62" s="22"/>
      <c r="K62" s="22"/>
    </row>
    <row r="63" spans="9:19" ht="12.75" x14ac:dyDescent="0.2">
      <c r="J63" s="22"/>
      <c r="K63" s="22"/>
    </row>
    <row r="64" spans="9:19" ht="12.75" x14ac:dyDescent="0.2">
      <c r="J64" s="22"/>
      <c r="K64" s="22"/>
    </row>
    <row r="65" spans="10:11" ht="12.75" x14ac:dyDescent="0.2">
      <c r="J65" s="22"/>
      <c r="K65" s="22"/>
    </row>
    <row r="66" spans="10:11" ht="12.75" x14ac:dyDescent="0.2">
      <c r="J66" s="22"/>
      <c r="K66" s="22"/>
    </row>
    <row r="67" spans="10:11" ht="12.75" x14ac:dyDescent="0.2">
      <c r="J67" s="22"/>
      <c r="K67" s="22"/>
    </row>
    <row r="68" spans="10:11" ht="12.75" x14ac:dyDescent="0.2">
      <c r="J68" s="22"/>
      <c r="K68" s="22"/>
    </row>
    <row r="69" spans="10:11" ht="12.75" x14ac:dyDescent="0.2">
      <c r="J69" s="22"/>
      <c r="K69" s="22"/>
    </row>
    <row r="70" spans="10:11" ht="12.75" x14ac:dyDescent="0.2">
      <c r="J70" s="22"/>
      <c r="K70" s="22"/>
    </row>
    <row r="71" spans="10:11" ht="12.75" x14ac:dyDescent="0.2">
      <c r="J71" s="22"/>
      <c r="K71" s="22"/>
    </row>
    <row r="72" spans="10:11" ht="12.75" x14ac:dyDescent="0.2">
      <c r="J72" s="22"/>
      <c r="K72" s="22"/>
    </row>
    <row r="73" spans="10:11" ht="12.75" x14ac:dyDescent="0.2">
      <c r="J73" s="22"/>
      <c r="K73" s="22"/>
    </row>
    <row r="74" spans="10:11" ht="12.75" x14ac:dyDescent="0.2">
      <c r="J74" s="22"/>
      <c r="K74" s="22"/>
    </row>
    <row r="75" spans="10:11" ht="12.75" x14ac:dyDescent="0.2">
      <c r="J75" s="22"/>
      <c r="K75" s="22"/>
    </row>
    <row r="76" spans="10:11" ht="12.75" x14ac:dyDescent="0.2">
      <c r="J76" s="22"/>
      <c r="K76" s="22"/>
    </row>
    <row r="77" spans="10:11" ht="12.75" x14ac:dyDescent="0.2">
      <c r="J77" s="22"/>
      <c r="K77" s="22"/>
    </row>
    <row r="78" spans="10:11" ht="12.75" x14ac:dyDescent="0.2">
      <c r="J78" s="22"/>
      <c r="K78" s="22"/>
    </row>
    <row r="79" spans="10:11" ht="12.75" x14ac:dyDescent="0.2">
      <c r="J79" s="22"/>
      <c r="K79" s="22"/>
    </row>
    <row r="80" spans="10:11" ht="12.75" x14ac:dyDescent="0.2">
      <c r="J80" s="22"/>
      <c r="K80" s="22"/>
    </row>
    <row r="81" spans="10:11" ht="12.75" x14ac:dyDescent="0.2">
      <c r="J81" s="22"/>
      <c r="K81" s="22"/>
    </row>
    <row r="82" spans="10:11" ht="12.75" x14ac:dyDescent="0.2">
      <c r="J82" s="22"/>
      <c r="K82" s="22"/>
    </row>
    <row r="83" spans="10:11" ht="12.75" x14ac:dyDescent="0.2">
      <c r="J83" s="22"/>
      <c r="K83" s="22"/>
    </row>
    <row r="84" spans="10:11" ht="12.75" x14ac:dyDescent="0.2">
      <c r="J84" s="22"/>
      <c r="K84" s="22"/>
    </row>
    <row r="85" spans="10:11" ht="12.75" x14ac:dyDescent="0.2">
      <c r="J85" s="22"/>
      <c r="K85" s="22"/>
    </row>
    <row r="86" spans="10:11" ht="12.75" x14ac:dyDescent="0.2">
      <c r="J86" s="22"/>
      <c r="K86" s="22"/>
    </row>
    <row r="87" spans="10:11" ht="12.75" x14ac:dyDescent="0.2">
      <c r="J87" s="22"/>
      <c r="K87" s="22"/>
    </row>
    <row r="88" spans="10:11" ht="12.75" x14ac:dyDescent="0.2">
      <c r="J88" s="22"/>
      <c r="K88" s="22"/>
    </row>
    <row r="89" spans="10:11" ht="12.75" x14ac:dyDescent="0.2">
      <c r="J89" s="22"/>
      <c r="K89" s="22"/>
    </row>
    <row r="90" spans="10:11" ht="12.75" x14ac:dyDescent="0.2">
      <c r="J90" s="22"/>
      <c r="K90" s="22"/>
    </row>
    <row r="91" spans="10:11" ht="12.75" x14ac:dyDescent="0.2">
      <c r="J91" s="22"/>
      <c r="K91" s="22"/>
    </row>
    <row r="92" spans="10:11" ht="12.75" x14ac:dyDescent="0.2">
      <c r="J92" s="22"/>
      <c r="K92" s="22"/>
    </row>
    <row r="93" spans="10:11" ht="12.75" x14ac:dyDescent="0.2">
      <c r="J93" s="22"/>
      <c r="K93" s="22"/>
    </row>
    <row r="94" spans="10:11" ht="12.75" x14ac:dyDescent="0.2">
      <c r="J94" s="22"/>
      <c r="K94" s="22"/>
    </row>
    <row r="95" spans="10:11" ht="12.75" x14ac:dyDescent="0.2">
      <c r="J95" s="22"/>
      <c r="K95" s="22"/>
    </row>
    <row r="96" spans="10:11" ht="12.75" x14ac:dyDescent="0.2">
      <c r="J96" s="22"/>
      <c r="K96" s="22"/>
    </row>
    <row r="97" spans="10:11" ht="12.75" x14ac:dyDescent="0.2">
      <c r="J97" s="22"/>
      <c r="K97" s="22"/>
    </row>
    <row r="98" spans="10:11" ht="12.75" x14ac:dyDescent="0.2">
      <c r="J98" s="22"/>
      <c r="K98" s="22"/>
    </row>
    <row r="99" spans="10:11" ht="12.75" x14ac:dyDescent="0.2">
      <c r="J99" s="22"/>
      <c r="K99" s="22"/>
    </row>
    <row r="100" spans="10:11" ht="12.75" x14ac:dyDescent="0.2">
      <c r="J100" s="22"/>
      <c r="K100" s="22"/>
    </row>
    <row r="101" spans="10:11" ht="12.75" x14ac:dyDescent="0.2">
      <c r="J101" s="22"/>
      <c r="K101" s="22"/>
    </row>
    <row r="102" spans="10:11" ht="12.75" x14ac:dyDescent="0.2">
      <c r="J102" s="22"/>
      <c r="K102" s="22"/>
    </row>
    <row r="103" spans="10:11" ht="12.75" x14ac:dyDescent="0.2">
      <c r="J103" s="22"/>
      <c r="K103" s="22"/>
    </row>
    <row r="104" spans="10:11" ht="12.75" x14ac:dyDescent="0.2">
      <c r="J104" s="22"/>
      <c r="K104" s="22"/>
    </row>
    <row r="105" spans="10:11" ht="12.75" x14ac:dyDescent="0.2">
      <c r="J105" s="22"/>
      <c r="K105" s="22"/>
    </row>
    <row r="106" spans="10:11" ht="12.75" x14ac:dyDescent="0.2">
      <c r="J106" s="22"/>
      <c r="K106" s="22"/>
    </row>
    <row r="107" spans="10:11" ht="12.75" x14ac:dyDescent="0.2">
      <c r="J107" s="22"/>
      <c r="K107" s="22"/>
    </row>
    <row r="108" spans="10:11" ht="12.75" x14ac:dyDescent="0.2">
      <c r="J108" s="22"/>
      <c r="K108" s="22"/>
    </row>
    <row r="109" spans="10:11" ht="12.75" x14ac:dyDescent="0.2">
      <c r="J109" s="22"/>
      <c r="K109" s="22"/>
    </row>
    <row r="110" spans="10:11" ht="12.75" x14ac:dyDescent="0.2">
      <c r="J110" s="22"/>
      <c r="K110" s="22"/>
    </row>
    <row r="111" spans="10:11" ht="12.75" x14ac:dyDescent="0.2">
      <c r="J111" s="22"/>
      <c r="K111" s="22"/>
    </row>
    <row r="112" spans="10:11" ht="12.75" x14ac:dyDescent="0.2">
      <c r="J112" s="22"/>
      <c r="K112" s="22"/>
    </row>
    <row r="113" spans="10:11" ht="12.75" x14ac:dyDescent="0.2">
      <c r="J113" s="22"/>
      <c r="K113" s="22"/>
    </row>
    <row r="114" spans="10:11" ht="12.75" x14ac:dyDescent="0.2">
      <c r="J114" s="22"/>
      <c r="K114" s="22"/>
    </row>
    <row r="115" spans="10:11" ht="12.75" x14ac:dyDescent="0.2">
      <c r="J115" s="22"/>
      <c r="K115" s="22"/>
    </row>
    <row r="116" spans="10:11" ht="12.75" x14ac:dyDescent="0.2">
      <c r="J116" s="22"/>
      <c r="K116" s="22"/>
    </row>
    <row r="117" spans="10:11" ht="12.75" x14ac:dyDescent="0.2">
      <c r="J117" s="22"/>
      <c r="K117" s="22"/>
    </row>
    <row r="118" spans="10:11" ht="12.75" x14ac:dyDescent="0.2">
      <c r="J118" s="22"/>
      <c r="K118" s="22"/>
    </row>
    <row r="119" spans="10:11" ht="12.75" x14ac:dyDescent="0.2">
      <c r="J119" s="22"/>
      <c r="K119" s="22"/>
    </row>
    <row r="120" spans="10:11" ht="12.75" x14ac:dyDescent="0.2">
      <c r="J120" s="22"/>
      <c r="K120" s="22"/>
    </row>
    <row r="121" spans="10:11" ht="12.75" x14ac:dyDescent="0.2">
      <c r="J121" s="22"/>
      <c r="K121" s="22"/>
    </row>
    <row r="122" spans="10:11" ht="12.75" x14ac:dyDescent="0.2">
      <c r="J122" s="22"/>
      <c r="K122" s="22"/>
    </row>
    <row r="123" spans="10:11" ht="12.75" x14ac:dyDescent="0.2">
      <c r="J123" s="22"/>
      <c r="K123" s="22"/>
    </row>
    <row r="124" spans="10:11" ht="12.75" x14ac:dyDescent="0.2">
      <c r="J124" s="22"/>
      <c r="K124" s="22"/>
    </row>
    <row r="125" spans="10:11" ht="12.75" x14ac:dyDescent="0.2">
      <c r="J125" s="22"/>
      <c r="K125" s="22"/>
    </row>
    <row r="126" spans="10:11" ht="12.75" x14ac:dyDescent="0.2">
      <c r="J126" s="22"/>
      <c r="K126" s="22"/>
    </row>
    <row r="127" spans="10:11" ht="12.75" x14ac:dyDescent="0.2">
      <c r="J127" s="22"/>
      <c r="K127" s="22"/>
    </row>
    <row r="128" spans="10:11" ht="12.75" x14ac:dyDescent="0.2">
      <c r="J128" s="22"/>
      <c r="K128" s="22"/>
    </row>
    <row r="129" spans="10:11" ht="12.75" x14ac:dyDescent="0.2">
      <c r="J129" s="22"/>
      <c r="K129" s="22"/>
    </row>
    <row r="130" spans="10:11" ht="12.75" x14ac:dyDescent="0.2">
      <c r="J130" s="22"/>
      <c r="K130" s="22"/>
    </row>
    <row r="131" spans="10:11" ht="12.75" x14ac:dyDescent="0.2">
      <c r="J131" s="22"/>
      <c r="K131" s="22"/>
    </row>
    <row r="132" spans="10:11" ht="12.75" x14ac:dyDescent="0.2">
      <c r="J132" s="22"/>
      <c r="K132" s="22"/>
    </row>
    <row r="133" spans="10:11" ht="12.75" x14ac:dyDescent="0.2">
      <c r="J133" s="22"/>
      <c r="K133" s="22"/>
    </row>
    <row r="134" spans="10:11" ht="12.75" x14ac:dyDescent="0.2">
      <c r="J134" s="22"/>
      <c r="K134" s="22"/>
    </row>
    <row r="135" spans="10:11" ht="12.75" x14ac:dyDescent="0.2">
      <c r="J135" s="22"/>
      <c r="K135" s="22"/>
    </row>
    <row r="136" spans="10:11" ht="12.75" x14ac:dyDescent="0.2">
      <c r="J136" s="22"/>
      <c r="K136" s="22"/>
    </row>
    <row r="137" spans="10:11" ht="12.75" x14ac:dyDescent="0.2">
      <c r="J137" s="22"/>
      <c r="K137" s="22"/>
    </row>
    <row r="138" spans="10:11" ht="12.75" x14ac:dyDescent="0.2">
      <c r="J138" s="22"/>
      <c r="K138" s="22"/>
    </row>
    <row r="139" spans="10:11" ht="12.75" x14ac:dyDescent="0.2">
      <c r="J139" s="22"/>
      <c r="K139" s="22"/>
    </row>
    <row r="140" spans="10:11" ht="12.75" x14ac:dyDescent="0.2">
      <c r="J140" s="22"/>
      <c r="K140" s="22"/>
    </row>
    <row r="141" spans="10:11" ht="12.75" x14ac:dyDescent="0.2">
      <c r="J141" s="22"/>
      <c r="K141" s="22"/>
    </row>
    <row r="142" spans="10:11" ht="12.75" x14ac:dyDescent="0.2">
      <c r="J142" s="22"/>
      <c r="K142" s="22"/>
    </row>
    <row r="143" spans="10:11" ht="12.75" x14ac:dyDescent="0.2">
      <c r="J143" s="22"/>
      <c r="K143" s="22"/>
    </row>
    <row r="144" spans="10:11" ht="12.75" x14ac:dyDescent="0.2">
      <c r="J144" s="22"/>
      <c r="K144" s="22"/>
    </row>
    <row r="145" spans="10:11" ht="12.75" x14ac:dyDescent="0.2">
      <c r="J145" s="22"/>
      <c r="K145" s="22"/>
    </row>
    <row r="146" spans="10:11" ht="12.75" x14ac:dyDescent="0.2">
      <c r="J146" s="22"/>
      <c r="K146" s="22"/>
    </row>
    <row r="147" spans="10:11" ht="12.75" x14ac:dyDescent="0.2">
      <c r="J147" s="22"/>
      <c r="K147" s="22"/>
    </row>
    <row r="148" spans="10:11" ht="12.75" x14ac:dyDescent="0.2">
      <c r="J148" s="22"/>
      <c r="K148" s="22"/>
    </row>
    <row r="149" spans="10:11" ht="12.75" x14ac:dyDescent="0.2">
      <c r="J149" s="22"/>
      <c r="K149" s="22"/>
    </row>
    <row r="150" spans="10:11" ht="12.75" x14ac:dyDescent="0.2">
      <c r="J150" s="22"/>
      <c r="K150" s="22"/>
    </row>
    <row r="151" spans="10:11" ht="12.75" x14ac:dyDescent="0.2">
      <c r="J151" s="22"/>
      <c r="K151" s="22"/>
    </row>
    <row r="152" spans="10:11" ht="12.75" x14ac:dyDescent="0.2">
      <c r="J152" s="22"/>
      <c r="K152" s="22"/>
    </row>
    <row r="153" spans="10:11" ht="12.75" x14ac:dyDescent="0.2">
      <c r="J153" s="22"/>
      <c r="K153" s="22"/>
    </row>
    <row r="154" spans="10:11" ht="12.75" x14ac:dyDescent="0.2">
      <c r="J154" s="22"/>
      <c r="K154" s="22"/>
    </row>
    <row r="155" spans="10:11" ht="12.75" x14ac:dyDescent="0.2">
      <c r="J155" s="22"/>
      <c r="K155" s="22"/>
    </row>
    <row r="156" spans="10:11" ht="12.75" x14ac:dyDescent="0.2">
      <c r="J156" s="22"/>
      <c r="K156" s="22"/>
    </row>
    <row r="157" spans="10:11" ht="12.75" x14ac:dyDescent="0.2">
      <c r="J157" s="22"/>
      <c r="K157" s="22"/>
    </row>
    <row r="158" spans="10:11" ht="12.75" x14ac:dyDescent="0.2">
      <c r="J158" s="22"/>
      <c r="K158" s="22"/>
    </row>
    <row r="159" spans="10:11" ht="12.75" x14ac:dyDescent="0.2">
      <c r="J159" s="22"/>
      <c r="K159" s="22"/>
    </row>
    <row r="160" spans="10:11" ht="12.75" x14ac:dyDescent="0.2">
      <c r="J160" s="22"/>
      <c r="K160" s="22"/>
    </row>
    <row r="161" spans="10:11" ht="12.75" x14ac:dyDescent="0.2">
      <c r="J161" s="22"/>
      <c r="K161" s="22"/>
    </row>
    <row r="162" spans="10:11" ht="12.75" x14ac:dyDescent="0.2">
      <c r="J162" s="22"/>
      <c r="K162" s="22"/>
    </row>
    <row r="163" spans="10:11" ht="12.75" x14ac:dyDescent="0.2">
      <c r="J163" s="22"/>
      <c r="K163" s="22"/>
    </row>
    <row r="164" spans="10:11" ht="12.75" x14ac:dyDescent="0.2">
      <c r="J164" s="22"/>
      <c r="K164" s="22"/>
    </row>
    <row r="165" spans="10:11" ht="12.75" x14ac:dyDescent="0.2">
      <c r="J165" s="22"/>
      <c r="K165" s="22"/>
    </row>
    <row r="166" spans="10:11" ht="12.75" x14ac:dyDescent="0.2">
      <c r="J166" s="22"/>
      <c r="K166" s="22"/>
    </row>
    <row r="167" spans="10:11" ht="12.75" x14ac:dyDescent="0.2">
      <c r="J167" s="22"/>
      <c r="K167" s="22"/>
    </row>
    <row r="168" spans="10:11" ht="12.75" x14ac:dyDescent="0.2">
      <c r="J168" s="22"/>
      <c r="K168" s="22"/>
    </row>
    <row r="169" spans="10:11" ht="12.75" x14ac:dyDescent="0.2">
      <c r="J169" s="22"/>
      <c r="K169" s="22"/>
    </row>
    <row r="170" spans="10:11" ht="12.75" x14ac:dyDescent="0.2">
      <c r="J170" s="22"/>
      <c r="K170" s="22"/>
    </row>
    <row r="171" spans="10:11" ht="12.75" x14ac:dyDescent="0.2">
      <c r="J171" s="22"/>
      <c r="K171" s="22"/>
    </row>
    <row r="172" spans="10:11" ht="12.75" x14ac:dyDescent="0.2">
      <c r="J172" s="22"/>
      <c r="K172" s="22"/>
    </row>
    <row r="173" spans="10:11" ht="12.75" x14ac:dyDescent="0.2">
      <c r="J173" s="22"/>
      <c r="K173" s="22"/>
    </row>
    <row r="174" spans="10:11" ht="12.75" x14ac:dyDescent="0.2">
      <c r="J174" s="22"/>
      <c r="K174" s="22"/>
    </row>
    <row r="175" spans="10:11" ht="12.75" x14ac:dyDescent="0.2">
      <c r="J175" s="22"/>
      <c r="K175" s="22"/>
    </row>
    <row r="176" spans="10:11" ht="12.75" x14ac:dyDescent="0.2">
      <c r="J176" s="22"/>
      <c r="K176" s="22"/>
    </row>
    <row r="177" spans="10:11" ht="12.75" x14ac:dyDescent="0.2">
      <c r="J177" s="22"/>
      <c r="K177" s="22"/>
    </row>
    <row r="178" spans="10:11" ht="12.75" x14ac:dyDescent="0.2">
      <c r="J178" s="22"/>
      <c r="K178" s="22"/>
    </row>
    <row r="179" spans="10:11" ht="12.75" x14ac:dyDescent="0.2">
      <c r="J179" s="22"/>
      <c r="K179" s="22"/>
    </row>
    <row r="180" spans="10:11" ht="12.75" x14ac:dyDescent="0.2">
      <c r="J180" s="22"/>
      <c r="K180" s="22"/>
    </row>
    <row r="181" spans="10:11" ht="12.75" x14ac:dyDescent="0.2">
      <c r="J181" s="22"/>
      <c r="K181" s="22"/>
    </row>
    <row r="182" spans="10:11" ht="12.75" x14ac:dyDescent="0.2">
      <c r="J182" s="22"/>
      <c r="K182" s="22"/>
    </row>
    <row r="183" spans="10:11" ht="12.75" x14ac:dyDescent="0.2">
      <c r="J183" s="22"/>
      <c r="K183" s="22"/>
    </row>
    <row r="184" spans="10:11" ht="12.75" x14ac:dyDescent="0.2">
      <c r="J184" s="22"/>
      <c r="K184" s="22"/>
    </row>
    <row r="185" spans="10:11" ht="12.75" x14ac:dyDescent="0.2">
      <c r="J185" s="22"/>
      <c r="K185" s="22"/>
    </row>
    <row r="186" spans="10:11" ht="12.75" x14ac:dyDescent="0.2">
      <c r="J186" s="22"/>
      <c r="K186" s="22"/>
    </row>
    <row r="187" spans="10:11" ht="12.75" x14ac:dyDescent="0.2">
      <c r="J187" s="22"/>
      <c r="K187" s="22"/>
    </row>
    <row r="188" spans="10:11" ht="12.75" x14ac:dyDescent="0.2">
      <c r="J188" s="22"/>
      <c r="K188" s="22"/>
    </row>
    <row r="189" spans="10:11" ht="12.75" x14ac:dyDescent="0.2">
      <c r="J189" s="22"/>
      <c r="K189" s="22"/>
    </row>
    <row r="190" spans="10:11" ht="12.75" x14ac:dyDescent="0.2">
      <c r="J190" s="22"/>
      <c r="K190" s="22"/>
    </row>
    <row r="191" spans="10:11" ht="12.75" x14ac:dyDescent="0.2">
      <c r="J191" s="22"/>
      <c r="K191" s="22"/>
    </row>
    <row r="192" spans="10:11" ht="12.75" x14ac:dyDescent="0.2">
      <c r="J192" s="22"/>
      <c r="K192" s="22"/>
    </row>
    <row r="193" spans="10:11" ht="12.75" x14ac:dyDescent="0.2">
      <c r="J193" s="22"/>
      <c r="K193" s="22"/>
    </row>
    <row r="194" spans="10:11" ht="12.75" x14ac:dyDescent="0.2">
      <c r="J194" s="22"/>
      <c r="K194" s="22"/>
    </row>
    <row r="195" spans="10:11" ht="12.75" x14ac:dyDescent="0.2">
      <c r="J195" s="22"/>
      <c r="K195" s="22"/>
    </row>
    <row r="196" spans="10:11" ht="12.75" x14ac:dyDescent="0.2">
      <c r="J196" s="22"/>
      <c r="K196" s="22"/>
    </row>
    <row r="197" spans="10:11" ht="12.75" x14ac:dyDescent="0.2">
      <c r="J197" s="22"/>
      <c r="K197" s="22"/>
    </row>
    <row r="198" spans="10:11" ht="12.75" x14ac:dyDescent="0.2">
      <c r="J198" s="22"/>
      <c r="K198" s="22"/>
    </row>
    <row r="199" spans="10:11" ht="12.75" x14ac:dyDescent="0.2">
      <c r="J199" s="22"/>
      <c r="K199" s="22"/>
    </row>
    <row r="200" spans="10:11" ht="12.75" x14ac:dyDescent="0.2">
      <c r="J200" s="22"/>
      <c r="K200" s="22"/>
    </row>
    <row r="201" spans="10:11" ht="12.75" x14ac:dyDescent="0.2">
      <c r="J201" s="22"/>
      <c r="K201" s="22"/>
    </row>
    <row r="202" spans="10:11" ht="12.75" x14ac:dyDescent="0.2">
      <c r="J202" s="22"/>
      <c r="K202" s="22"/>
    </row>
    <row r="203" spans="10:11" ht="12.75" x14ac:dyDescent="0.2">
      <c r="J203" s="22"/>
      <c r="K203" s="22"/>
    </row>
    <row r="204" spans="10:11" ht="12.75" x14ac:dyDescent="0.2">
      <c r="J204" s="22"/>
      <c r="K204" s="22"/>
    </row>
    <row r="205" spans="10:11" ht="12.75" x14ac:dyDescent="0.2">
      <c r="J205" s="22"/>
      <c r="K205" s="22"/>
    </row>
    <row r="206" spans="10:11" ht="12.75" x14ac:dyDescent="0.2">
      <c r="J206" s="22"/>
      <c r="K206" s="22"/>
    </row>
    <row r="207" spans="10:11" ht="12.75" x14ac:dyDescent="0.2">
      <c r="J207" s="22"/>
      <c r="K207" s="22"/>
    </row>
    <row r="208" spans="10:11" ht="12.75" x14ac:dyDescent="0.2">
      <c r="J208" s="22"/>
      <c r="K208" s="22"/>
    </row>
    <row r="209" spans="10:11" ht="12.75" x14ac:dyDescent="0.2">
      <c r="J209" s="22"/>
      <c r="K209" s="22"/>
    </row>
    <row r="210" spans="10:11" ht="12.75" x14ac:dyDescent="0.2">
      <c r="J210" s="22"/>
      <c r="K210" s="22"/>
    </row>
    <row r="211" spans="10:11" ht="12.75" x14ac:dyDescent="0.2">
      <c r="J211" s="22"/>
      <c r="K211" s="22"/>
    </row>
    <row r="212" spans="10:11" ht="12.75" x14ac:dyDescent="0.2">
      <c r="J212" s="22"/>
      <c r="K212" s="22"/>
    </row>
    <row r="213" spans="10:11" ht="12.75" x14ac:dyDescent="0.2">
      <c r="J213" s="22"/>
      <c r="K213" s="22"/>
    </row>
    <row r="214" spans="10:11" ht="12.75" x14ac:dyDescent="0.2">
      <c r="J214" s="22"/>
      <c r="K214" s="22"/>
    </row>
    <row r="215" spans="10:11" ht="12.75" x14ac:dyDescent="0.2">
      <c r="J215" s="22"/>
      <c r="K215" s="22"/>
    </row>
    <row r="216" spans="10:11" ht="12.75" x14ac:dyDescent="0.2">
      <c r="J216" s="22"/>
      <c r="K216" s="22"/>
    </row>
    <row r="217" spans="10:11" ht="12.75" x14ac:dyDescent="0.2">
      <c r="J217" s="22"/>
      <c r="K217" s="22"/>
    </row>
    <row r="218" spans="10:11" ht="12.75" x14ac:dyDescent="0.2">
      <c r="J218" s="22"/>
      <c r="K218" s="22"/>
    </row>
    <row r="219" spans="10:11" ht="12.75" x14ac:dyDescent="0.2">
      <c r="J219" s="22"/>
      <c r="K219" s="22"/>
    </row>
    <row r="220" spans="10:11" ht="12.75" x14ac:dyDescent="0.2">
      <c r="J220" s="22"/>
      <c r="K220" s="22"/>
    </row>
    <row r="221" spans="10:11" ht="12.75" x14ac:dyDescent="0.2">
      <c r="J221" s="22"/>
      <c r="K221" s="22"/>
    </row>
    <row r="222" spans="10:11" ht="12.75" x14ac:dyDescent="0.2">
      <c r="J222" s="22"/>
      <c r="K222" s="22"/>
    </row>
    <row r="223" spans="10:11" ht="12.75" x14ac:dyDescent="0.2">
      <c r="J223" s="22"/>
      <c r="K223" s="22"/>
    </row>
    <row r="224" spans="10:11" ht="12.75" x14ac:dyDescent="0.2">
      <c r="J224" s="22"/>
      <c r="K224" s="22"/>
    </row>
    <row r="225" spans="10:11" ht="12.75" x14ac:dyDescent="0.2">
      <c r="J225" s="22"/>
      <c r="K225" s="22"/>
    </row>
    <row r="226" spans="10:11" ht="12.75" x14ac:dyDescent="0.2">
      <c r="J226" s="22"/>
      <c r="K226" s="22"/>
    </row>
    <row r="227" spans="10:11" ht="12.75" x14ac:dyDescent="0.2">
      <c r="J227" s="22"/>
      <c r="K227" s="22"/>
    </row>
    <row r="228" spans="10:11" ht="12.75" x14ac:dyDescent="0.2">
      <c r="J228" s="22"/>
      <c r="K228" s="22"/>
    </row>
    <row r="229" spans="10:11" ht="12.75" x14ac:dyDescent="0.2">
      <c r="J229" s="22"/>
      <c r="K229" s="22"/>
    </row>
    <row r="230" spans="10:11" ht="12.75" x14ac:dyDescent="0.2">
      <c r="J230" s="22"/>
      <c r="K230" s="22"/>
    </row>
    <row r="231" spans="10:11" ht="12.75" x14ac:dyDescent="0.2">
      <c r="J231" s="22"/>
      <c r="K231" s="22"/>
    </row>
    <row r="232" spans="10:11" ht="12.75" x14ac:dyDescent="0.2">
      <c r="J232" s="22"/>
      <c r="K232" s="22"/>
    </row>
    <row r="233" spans="10:11" ht="12.75" x14ac:dyDescent="0.2">
      <c r="J233" s="22"/>
      <c r="K233" s="22"/>
    </row>
    <row r="234" spans="10:11" ht="12.75" x14ac:dyDescent="0.2">
      <c r="J234" s="22"/>
      <c r="K234" s="22"/>
    </row>
    <row r="235" spans="10:11" ht="12.75" x14ac:dyDescent="0.2">
      <c r="J235" s="22"/>
      <c r="K235" s="22"/>
    </row>
    <row r="236" spans="10:11" ht="12.75" x14ac:dyDescent="0.2">
      <c r="J236" s="22"/>
      <c r="K236" s="22"/>
    </row>
    <row r="237" spans="10:11" ht="12.75" x14ac:dyDescent="0.2">
      <c r="J237" s="22"/>
      <c r="K237" s="22"/>
    </row>
    <row r="238" spans="10:11" ht="12.75" x14ac:dyDescent="0.2">
      <c r="J238" s="22"/>
      <c r="K238" s="22"/>
    </row>
    <row r="239" spans="10:11" ht="12.75" x14ac:dyDescent="0.2">
      <c r="J239" s="22"/>
      <c r="K239" s="22"/>
    </row>
    <row r="240" spans="10:11" ht="12.75" x14ac:dyDescent="0.2">
      <c r="J240" s="22"/>
      <c r="K240" s="22"/>
    </row>
    <row r="241" spans="10:11" ht="12.75" x14ac:dyDescent="0.2">
      <c r="J241" s="22"/>
      <c r="K241" s="22"/>
    </row>
    <row r="242" spans="10:11" ht="12.75" x14ac:dyDescent="0.2">
      <c r="J242" s="22"/>
      <c r="K242" s="22"/>
    </row>
    <row r="243" spans="10:11" ht="12.75" x14ac:dyDescent="0.2">
      <c r="J243" s="22"/>
      <c r="K243" s="22"/>
    </row>
    <row r="244" spans="10:11" ht="12.75" x14ac:dyDescent="0.2">
      <c r="J244" s="22"/>
      <c r="K244" s="22"/>
    </row>
    <row r="245" spans="10:11" ht="12.75" x14ac:dyDescent="0.2">
      <c r="J245" s="22"/>
      <c r="K245" s="22"/>
    </row>
    <row r="246" spans="10:11" ht="12.75" x14ac:dyDescent="0.2">
      <c r="J246" s="22"/>
      <c r="K246" s="22"/>
    </row>
    <row r="247" spans="10:11" ht="12.75" x14ac:dyDescent="0.2">
      <c r="J247" s="22"/>
      <c r="K247" s="22"/>
    </row>
    <row r="248" spans="10:11" ht="12.75" x14ac:dyDescent="0.2">
      <c r="J248" s="22"/>
      <c r="K248" s="22"/>
    </row>
    <row r="249" spans="10:11" ht="12.75" x14ac:dyDescent="0.2">
      <c r="J249" s="22"/>
      <c r="K249" s="22"/>
    </row>
    <row r="250" spans="10:11" ht="12.75" x14ac:dyDescent="0.2">
      <c r="J250" s="22"/>
      <c r="K250" s="22"/>
    </row>
    <row r="251" spans="10:11" ht="12.75" x14ac:dyDescent="0.2">
      <c r="J251" s="22"/>
      <c r="K251" s="22"/>
    </row>
    <row r="252" spans="10:11" ht="12.75" x14ac:dyDescent="0.2">
      <c r="J252" s="22"/>
      <c r="K252" s="22"/>
    </row>
    <row r="253" spans="10:11" ht="12.75" x14ac:dyDescent="0.2">
      <c r="J253" s="22"/>
      <c r="K253" s="22"/>
    </row>
    <row r="254" spans="10:11" ht="12.75" x14ac:dyDescent="0.2">
      <c r="J254" s="22"/>
      <c r="K254" s="22"/>
    </row>
    <row r="255" spans="10:11" ht="12.75" x14ac:dyDescent="0.2">
      <c r="J255" s="22"/>
      <c r="K255" s="22"/>
    </row>
    <row r="256" spans="10:11" ht="12.75" x14ac:dyDescent="0.2">
      <c r="J256" s="22"/>
      <c r="K256" s="22"/>
    </row>
    <row r="257" spans="10:11" ht="12.75" x14ac:dyDescent="0.2">
      <c r="J257" s="22"/>
      <c r="K257" s="22"/>
    </row>
    <row r="258" spans="10:11" ht="12.75" x14ac:dyDescent="0.2">
      <c r="J258" s="22"/>
      <c r="K258" s="22"/>
    </row>
    <row r="259" spans="10:11" ht="12.75" x14ac:dyDescent="0.2">
      <c r="J259" s="22"/>
      <c r="K259" s="22"/>
    </row>
    <row r="260" spans="10:11" ht="12.75" x14ac:dyDescent="0.2">
      <c r="J260" s="22"/>
      <c r="K260" s="22"/>
    </row>
    <row r="261" spans="10:11" ht="12.75" x14ac:dyDescent="0.2">
      <c r="J261" s="22"/>
      <c r="K261" s="22"/>
    </row>
    <row r="262" spans="10:11" ht="12.75" x14ac:dyDescent="0.2">
      <c r="J262" s="22"/>
      <c r="K262" s="22"/>
    </row>
    <row r="263" spans="10:11" ht="12.75" x14ac:dyDescent="0.2">
      <c r="J263" s="22"/>
      <c r="K263" s="22"/>
    </row>
    <row r="264" spans="10:11" ht="12.75" x14ac:dyDescent="0.2">
      <c r="J264" s="22"/>
      <c r="K264" s="22"/>
    </row>
    <row r="265" spans="10:11" ht="12.75" x14ac:dyDescent="0.2">
      <c r="J265" s="22"/>
      <c r="K265" s="22"/>
    </row>
    <row r="266" spans="10:11" ht="12.75" x14ac:dyDescent="0.2">
      <c r="J266" s="22"/>
      <c r="K266" s="22"/>
    </row>
    <row r="267" spans="10:11" ht="12.75" x14ac:dyDescent="0.2">
      <c r="J267" s="22"/>
      <c r="K267" s="22"/>
    </row>
    <row r="268" spans="10:11" ht="12.75" x14ac:dyDescent="0.2">
      <c r="J268" s="22"/>
      <c r="K268" s="22"/>
    </row>
    <row r="269" spans="10:11" ht="12.75" x14ac:dyDescent="0.2">
      <c r="J269" s="22"/>
      <c r="K269" s="22"/>
    </row>
    <row r="270" spans="10:11" ht="12.75" x14ac:dyDescent="0.2">
      <c r="J270" s="22"/>
      <c r="K270" s="22"/>
    </row>
    <row r="271" spans="10:11" ht="12.75" x14ac:dyDescent="0.2">
      <c r="J271" s="22"/>
      <c r="K271" s="22"/>
    </row>
    <row r="272" spans="10:11" ht="12.75" x14ac:dyDescent="0.2">
      <c r="J272" s="22"/>
      <c r="K272" s="22"/>
    </row>
    <row r="273" spans="10:11" ht="12.75" x14ac:dyDescent="0.2">
      <c r="J273" s="22"/>
      <c r="K273" s="22"/>
    </row>
    <row r="274" spans="10:11" ht="12.75" x14ac:dyDescent="0.2">
      <c r="J274" s="22"/>
      <c r="K274" s="22"/>
    </row>
    <row r="275" spans="10:11" ht="12.75" x14ac:dyDescent="0.2">
      <c r="J275" s="22"/>
      <c r="K275" s="22"/>
    </row>
    <row r="276" spans="10:11" ht="12.75" x14ac:dyDescent="0.2">
      <c r="J276" s="22"/>
      <c r="K276" s="22"/>
    </row>
    <row r="277" spans="10:11" ht="12.75" x14ac:dyDescent="0.2">
      <c r="J277" s="22"/>
      <c r="K277" s="22"/>
    </row>
    <row r="278" spans="10:11" ht="12.75" x14ac:dyDescent="0.2">
      <c r="J278" s="22"/>
      <c r="K278" s="22"/>
    </row>
    <row r="279" spans="10:11" ht="12.75" x14ac:dyDescent="0.2">
      <c r="J279" s="22"/>
      <c r="K279" s="22"/>
    </row>
    <row r="280" spans="10:11" ht="12.75" x14ac:dyDescent="0.2">
      <c r="J280" s="22"/>
      <c r="K280" s="22"/>
    </row>
    <row r="281" spans="10:11" ht="12.75" x14ac:dyDescent="0.2">
      <c r="J281" s="22"/>
      <c r="K281" s="22"/>
    </row>
    <row r="282" spans="10:11" ht="12.75" x14ac:dyDescent="0.2">
      <c r="J282" s="22"/>
      <c r="K282" s="22"/>
    </row>
    <row r="283" spans="10:11" ht="12.75" x14ac:dyDescent="0.2">
      <c r="J283" s="22"/>
      <c r="K283" s="22"/>
    </row>
    <row r="284" spans="10:11" ht="12.75" x14ac:dyDescent="0.2">
      <c r="J284" s="22"/>
      <c r="K284" s="22"/>
    </row>
    <row r="285" spans="10:11" ht="12.75" x14ac:dyDescent="0.2">
      <c r="J285" s="22"/>
      <c r="K285" s="22"/>
    </row>
    <row r="286" spans="10:11" ht="12.75" x14ac:dyDescent="0.2">
      <c r="J286" s="22"/>
      <c r="K286" s="22"/>
    </row>
    <row r="287" spans="10:11" ht="12.75" x14ac:dyDescent="0.2">
      <c r="J287" s="22"/>
      <c r="K287" s="22"/>
    </row>
    <row r="288" spans="10:11" ht="12.75" x14ac:dyDescent="0.2">
      <c r="J288" s="22"/>
      <c r="K288" s="22"/>
    </row>
    <row r="289" spans="10:11" ht="12.75" x14ac:dyDescent="0.2">
      <c r="J289" s="22"/>
      <c r="K289" s="22"/>
    </row>
    <row r="290" spans="10:11" ht="12.75" x14ac:dyDescent="0.2">
      <c r="J290" s="22"/>
      <c r="K290" s="22"/>
    </row>
    <row r="291" spans="10:11" ht="12.75" x14ac:dyDescent="0.2">
      <c r="J291" s="22"/>
      <c r="K291" s="22"/>
    </row>
    <row r="292" spans="10:11" ht="12.75" x14ac:dyDescent="0.2">
      <c r="J292" s="22"/>
      <c r="K292" s="22"/>
    </row>
    <row r="293" spans="10:11" ht="12.75" x14ac:dyDescent="0.2">
      <c r="J293" s="22"/>
      <c r="K293" s="22"/>
    </row>
    <row r="294" spans="10:11" ht="12.75" x14ac:dyDescent="0.2">
      <c r="J294" s="22"/>
      <c r="K294" s="22"/>
    </row>
    <row r="295" spans="10:11" ht="12.75" x14ac:dyDescent="0.2">
      <c r="J295" s="22"/>
      <c r="K295" s="22"/>
    </row>
    <row r="296" spans="10:11" ht="12.75" x14ac:dyDescent="0.2">
      <c r="J296" s="22"/>
      <c r="K296" s="22"/>
    </row>
    <row r="297" spans="10:11" ht="12.75" x14ac:dyDescent="0.2">
      <c r="J297" s="22"/>
      <c r="K297" s="22"/>
    </row>
    <row r="298" spans="10:11" ht="12.75" x14ac:dyDescent="0.2">
      <c r="J298" s="22"/>
      <c r="K298" s="22"/>
    </row>
    <row r="299" spans="10:11" ht="12.75" x14ac:dyDescent="0.2">
      <c r="J299" s="22"/>
      <c r="K299" s="22"/>
    </row>
    <row r="300" spans="10:11" ht="12.75" x14ac:dyDescent="0.2">
      <c r="J300" s="22"/>
      <c r="K300" s="22"/>
    </row>
    <row r="301" spans="10:11" ht="12.75" x14ac:dyDescent="0.2">
      <c r="J301" s="22"/>
      <c r="K301" s="22"/>
    </row>
    <row r="302" spans="10:11" ht="12.75" x14ac:dyDescent="0.2">
      <c r="J302" s="22"/>
      <c r="K302" s="22"/>
    </row>
    <row r="303" spans="10:11" ht="12.75" x14ac:dyDescent="0.2">
      <c r="J303" s="22"/>
      <c r="K303" s="22"/>
    </row>
    <row r="304" spans="10:11" ht="12.75" x14ac:dyDescent="0.2">
      <c r="J304" s="22"/>
      <c r="K304" s="22"/>
    </row>
    <row r="305" spans="10:11" ht="12.75" x14ac:dyDescent="0.2">
      <c r="J305" s="22"/>
      <c r="K305" s="22"/>
    </row>
    <row r="306" spans="10:11" ht="12.75" x14ac:dyDescent="0.2">
      <c r="J306" s="22"/>
      <c r="K306" s="22"/>
    </row>
    <row r="307" spans="10:11" ht="12.75" x14ac:dyDescent="0.2">
      <c r="J307" s="22"/>
      <c r="K307" s="22"/>
    </row>
    <row r="308" spans="10:11" ht="12.75" x14ac:dyDescent="0.2">
      <c r="J308" s="22"/>
      <c r="K308" s="22"/>
    </row>
    <row r="309" spans="10:11" ht="12.75" x14ac:dyDescent="0.2">
      <c r="J309" s="22"/>
      <c r="K309" s="22"/>
    </row>
    <row r="310" spans="10:11" ht="12.75" x14ac:dyDescent="0.2">
      <c r="J310" s="22"/>
      <c r="K310" s="22"/>
    </row>
    <row r="311" spans="10:11" ht="12.75" x14ac:dyDescent="0.2">
      <c r="J311" s="22"/>
      <c r="K311" s="22"/>
    </row>
    <row r="312" spans="10:11" ht="12.75" x14ac:dyDescent="0.2">
      <c r="J312" s="22"/>
      <c r="K312" s="22"/>
    </row>
    <row r="313" spans="10:11" ht="12.75" x14ac:dyDescent="0.2">
      <c r="J313" s="22"/>
      <c r="K313" s="22"/>
    </row>
    <row r="314" spans="10:11" ht="12.75" x14ac:dyDescent="0.2">
      <c r="J314" s="22"/>
      <c r="K314" s="22"/>
    </row>
    <row r="315" spans="10:11" ht="12.75" x14ac:dyDescent="0.2">
      <c r="J315" s="22"/>
      <c r="K315" s="22"/>
    </row>
    <row r="316" spans="10:11" ht="12.75" x14ac:dyDescent="0.2">
      <c r="J316" s="22"/>
      <c r="K316" s="22"/>
    </row>
    <row r="317" spans="10:11" ht="12.75" x14ac:dyDescent="0.2">
      <c r="J317" s="22"/>
      <c r="K317" s="22"/>
    </row>
    <row r="318" spans="10:11" ht="12.75" x14ac:dyDescent="0.2">
      <c r="J318" s="22"/>
      <c r="K318" s="22"/>
    </row>
    <row r="319" spans="10:11" ht="12.75" x14ac:dyDescent="0.2">
      <c r="J319" s="22"/>
      <c r="K319" s="22"/>
    </row>
    <row r="320" spans="10:11" ht="12.75" x14ac:dyDescent="0.2">
      <c r="J320" s="22"/>
      <c r="K320" s="22"/>
    </row>
    <row r="321" spans="10:11" ht="12.75" x14ac:dyDescent="0.2">
      <c r="J321" s="22"/>
      <c r="K321" s="22"/>
    </row>
    <row r="322" spans="10:11" ht="12.75" x14ac:dyDescent="0.2">
      <c r="J322" s="22"/>
      <c r="K322" s="22"/>
    </row>
    <row r="323" spans="10:11" ht="12.75" x14ac:dyDescent="0.2">
      <c r="J323" s="22"/>
      <c r="K323" s="22"/>
    </row>
    <row r="324" spans="10:11" ht="12.75" x14ac:dyDescent="0.2">
      <c r="J324" s="22"/>
      <c r="K324" s="22"/>
    </row>
    <row r="325" spans="10:11" ht="12.75" x14ac:dyDescent="0.2">
      <c r="J325" s="22"/>
      <c r="K325" s="22"/>
    </row>
    <row r="326" spans="10:11" ht="12.75" x14ac:dyDescent="0.2">
      <c r="J326" s="22"/>
      <c r="K326" s="22"/>
    </row>
    <row r="327" spans="10:11" ht="12.75" x14ac:dyDescent="0.2">
      <c r="J327" s="22"/>
      <c r="K327" s="22"/>
    </row>
    <row r="328" spans="10:11" ht="12.75" x14ac:dyDescent="0.2">
      <c r="J328" s="22"/>
      <c r="K328" s="22"/>
    </row>
    <row r="329" spans="10:11" ht="12.75" x14ac:dyDescent="0.2">
      <c r="J329" s="22"/>
      <c r="K329" s="22"/>
    </row>
    <row r="330" spans="10:11" ht="12.75" x14ac:dyDescent="0.2">
      <c r="J330" s="22"/>
      <c r="K330" s="22"/>
    </row>
    <row r="331" spans="10:11" ht="12.75" x14ac:dyDescent="0.2">
      <c r="J331" s="22"/>
      <c r="K331" s="22"/>
    </row>
    <row r="332" spans="10:11" ht="12.75" x14ac:dyDescent="0.2">
      <c r="J332" s="22"/>
      <c r="K332" s="22"/>
    </row>
    <row r="333" spans="10:11" ht="12.75" x14ac:dyDescent="0.2">
      <c r="J333" s="22"/>
      <c r="K333" s="22"/>
    </row>
    <row r="334" spans="10:11" ht="12.75" x14ac:dyDescent="0.2">
      <c r="J334" s="22"/>
      <c r="K334" s="22"/>
    </row>
    <row r="335" spans="10:11" ht="12.75" x14ac:dyDescent="0.2">
      <c r="J335" s="22"/>
      <c r="K335" s="22"/>
    </row>
    <row r="336" spans="10:11" ht="12.75" x14ac:dyDescent="0.2">
      <c r="J336" s="22"/>
      <c r="K336" s="22"/>
    </row>
    <row r="337" spans="10:11" ht="12.75" x14ac:dyDescent="0.2">
      <c r="J337" s="22"/>
      <c r="K337" s="22"/>
    </row>
    <row r="338" spans="10:11" ht="12.75" x14ac:dyDescent="0.2">
      <c r="J338" s="22"/>
      <c r="K338" s="22"/>
    </row>
    <row r="339" spans="10:11" ht="12.75" x14ac:dyDescent="0.2">
      <c r="J339" s="22"/>
      <c r="K339" s="22"/>
    </row>
    <row r="340" spans="10:11" ht="12.75" x14ac:dyDescent="0.2">
      <c r="J340" s="22"/>
      <c r="K340" s="22"/>
    </row>
    <row r="341" spans="10:11" ht="12.75" x14ac:dyDescent="0.2">
      <c r="J341" s="22"/>
      <c r="K341" s="22"/>
    </row>
    <row r="342" spans="10:11" ht="12.75" x14ac:dyDescent="0.2">
      <c r="J342" s="22"/>
      <c r="K342" s="22"/>
    </row>
    <row r="343" spans="10:11" ht="12.75" x14ac:dyDescent="0.2">
      <c r="J343" s="22"/>
      <c r="K343" s="22"/>
    </row>
    <row r="344" spans="10:11" ht="12.75" x14ac:dyDescent="0.2">
      <c r="J344" s="22"/>
      <c r="K344" s="22"/>
    </row>
    <row r="345" spans="10:11" ht="12.75" x14ac:dyDescent="0.2">
      <c r="J345" s="22"/>
      <c r="K345" s="22"/>
    </row>
    <row r="346" spans="10:11" ht="12.75" x14ac:dyDescent="0.2">
      <c r="J346" s="22"/>
      <c r="K346" s="22"/>
    </row>
    <row r="347" spans="10:11" ht="12.75" x14ac:dyDescent="0.2">
      <c r="J347" s="22"/>
      <c r="K347" s="22"/>
    </row>
    <row r="348" spans="10:11" ht="12.75" x14ac:dyDescent="0.2">
      <c r="J348" s="22"/>
      <c r="K348" s="22"/>
    </row>
    <row r="349" spans="10:11" ht="12.75" x14ac:dyDescent="0.2">
      <c r="J349" s="22"/>
      <c r="K349" s="22"/>
    </row>
    <row r="350" spans="10:11" ht="12.75" x14ac:dyDescent="0.2">
      <c r="J350" s="22"/>
      <c r="K350" s="22"/>
    </row>
    <row r="351" spans="10:11" ht="12.75" x14ac:dyDescent="0.2">
      <c r="J351" s="22"/>
      <c r="K351" s="22"/>
    </row>
    <row r="352" spans="10:11" ht="12.75" x14ac:dyDescent="0.2">
      <c r="J352" s="22"/>
      <c r="K352" s="22"/>
    </row>
    <row r="353" spans="10:11" ht="12.75" x14ac:dyDescent="0.2">
      <c r="J353" s="22"/>
      <c r="K353" s="22"/>
    </row>
    <row r="354" spans="10:11" ht="12.75" x14ac:dyDescent="0.2">
      <c r="J354" s="22"/>
      <c r="K354" s="22"/>
    </row>
    <row r="355" spans="10:11" ht="12.75" x14ac:dyDescent="0.2">
      <c r="J355" s="22"/>
      <c r="K355" s="22"/>
    </row>
    <row r="356" spans="10:11" ht="12.75" x14ac:dyDescent="0.2">
      <c r="J356" s="22"/>
      <c r="K356" s="22"/>
    </row>
    <row r="357" spans="10:11" ht="12.75" x14ac:dyDescent="0.2">
      <c r="J357" s="22"/>
      <c r="K357" s="22"/>
    </row>
    <row r="358" spans="10:11" ht="12.75" x14ac:dyDescent="0.2">
      <c r="J358" s="22"/>
      <c r="K358" s="22"/>
    </row>
    <row r="359" spans="10:11" ht="12.75" x14ac:dyDescent="0.2">
      <c r="J359" s="22"/>
      <c r="K359" s="22"/>
    </row>
    <row r="360" spans="10:11" ht="12.75" x14ac:dyDescent="0.2">
      <c r="J360" s="22"/>
      <c r="K360" s="22"/>
    </row>
    <row r="361" spans="10:11" ht="12.75" x14ac:dyDescent="0.2">
      <c r="J361" s="22"/>
      <c r="K361" s="22"/>
    </row>
    <row r="362" spans="10:11" ht="12.75" x14ac:dyDescent="0.2">
      <c r="J362" s="22"/>
      <c r="K362" s="22"/>
    </row>
    <row r="363" spans="10:11" ht="12.75" x14ac:dyDescent="0.2">
      <c r="J363" s="22"/>
      <c r="K363" s="22"/>
    </row>
    <row r="364" spans="10:11" ht="12.75" x14ac:dyDescent="0.2">
      <c r="J364" s="22"/>
      <c r="K364" s="22"/>
    </row>
    <row r="365" spans="10:11" ht="12.75" x14ac:dyDescent="0.2">
      <c r="J365" s="22"/>
      <c r="K365" s="22"/>
    </row>
    <row r="366" spans="10:11" ht="12.75" x14ac:dyDescent="0.2">
      <c r="J366" s="22"/>
      <c r="K366" s="22"/>
    </row>
    <row r="367" spans="10:11" ht="12.75" x14ac:dyDescent="0.2">
      <c r="J367" s="22"/>
      <c r="K367" s="22"/>
    </row>
    <row r="368" spans="10:11" ht="12.75" x14ac:dyDescent="0.2">
      <c r="J368" s="22"/>
      <c r="K368" s="22"/>
    </row>
    <row r="369" spans="10:11" ht="12.75" x14ac:dyDescent="0.2">
      <c r="J369" s="22"/>
      <c r="K369" s="22"/>
    </row>
    <row r="370" spans="10:11" ht="12.75" x14ac:dyDescent="0.2">
      <c r="J370" s="22"/>
      <c r="K370" s="22"/>
    </row>
    <row r="371" spans="10:11" ht="12.75" x14ac:dyDescent="0.2">
      <c r="J371" s="22"/>
      <c r="K371" s="22"/>
    </row>
    <row r="372" spans="10:11" ht="12.75" x14ac:dyDescent="0.2">
      <c r="J372" s="22"/>
      <c r="K372" s="22"/>
    </row>
    <row r="373" spans="10:11" ht="12.75" x14ac:dyDescent="0.2">
      <c r="J373" s="22"/>
      <c r="K373" s="22"/>
    </row>
    <row r="374" spans="10:11" ht="12.75" x14ac:dyDescent="0.2">
      <c r="J374" s="22"/>
      <c r="K374" s="22"/>
    </row>
    <row r="375" spans="10:11" ht="12.75" x14ac:dyDescent="0.2">
      <c r="J375" s="22"/>
      <c r="K375" s="22"/>
    </row>
    <row r="376" spans="10:11" ht="12.75" x14ac:dyDescent="0.2">
      <c r="J376" s="22"/>
      <c r="K376" s="22"/>
    </row>
    <row r="377" spans="10:11" ht="12.75" x14ac:dyDescent="0.2">
      <c r="J377" s="22"/>
      <c r="K377" s="22"/>
    </row>
    <row r="378" spans="10:11" ht="12.75" x14ac:dyDescent="0.2">
      <c r="J378" s="22"/>
      <c r="K378" s="22"/>
    </row>
    <row r="379" spans="10:11" ht="12.75" x14ac:dyDescent="0.2">
      <c r="J379" s="22"/>
      <c r="K379" s="22"/>
    </row>
    <row r="380" spans="10:11" ht="12.75" x14ac:dyDescent="0.2">
      <c r="J380" s="22"/>
      <c r="K380" s="22"/>
    </row>
    <row r="381" spans="10:11" ht="12.75" x14ac:dyDescent="0.2">
      <c r="J381" s="22"/>
      <c r="K381" s="22"/>
    </row>
    <row r="382" spans="10:11" ht="12.75" x14ac:dyDescent="0.2">
      <c r="J382" s="22"/>
      <c r="K382" s="22"/>
    </row>
    <row r="383" spans="10:11" ht="12.75" x14ac:dyDescent="0.2">
      <c r="J383" s="22"/>
      <c r="K383" s="22"/>
    </row>
    <row r="384" spans="10:11" ht="12.75" x14ac:dyDescent="0.2">
      <c r="J384" s="22"/>
      <c r="K384" s="22"/>
    </row>
    <row r="385" spans="10:11" ht="12.75" x14ac:dyDescent="0.2">
      <c r="J385" s="22"/>
      <c r="K385" s="22"/>
    </row>
    <row r="386" spans="10:11" ht="12.75" x14ac:dyDescent="0.2">
      <c r="J386" s="22"/>
      <c r="K386" s="22"/>
    </row>
    <row r="387" spans="10:11" ht="12.75" x14ac:dyDescent="0.2">
      <c r="J387" s="22"/>
      <c r="K387" s="22"/>
    </row>
    <row r="388" spans="10:11" ht="12.75" x14ac:dyDescent="0.2">
      <c r="J388" s="22"/>
      <c r="K388" s="22"/>
    </row>
    <row r="389" spans="10:11" ht="12.75" x14ac:dyDescent="0.2">
      <c r="J389" s="22"/>
      <c r="K389" s="22"/>
    </row>
    <row r="390" spans="10:11" ht="12.75" x14ac:dyDescent="0.2">
      <c r="J390" s="22"/>
      <c r="K390" s="22"/>
    </row>
    <row r="391" spans="10:11" ht="12.75" x14ac:dyDescent="0.2">
      <c r="J391" s="22"/>
      <c r="K391" s="22"/>
    </row>
    <row r="392" spans="10:11" ht="12.75" x14ac:dyDescent="0.2">
      <c r="J392" s="22"/>
      <c r="K392" s="22"/>
    </row>
    <row r="393" spans="10:11" ht="12.75" x14ac:dyDescent="0.2">
      <c r="J393" s="22"/>
      <c r="K393" s="22"/>
    </row>
    <row r="394" spans="10:11" ht="12.75" x14ac:dyDescent="0.2">
      <c r="J394" s="22"/>
      <c r="K394" s="22"/>
    </row>
    <row r="395" spans="10:11" ht="12.75" x14ac:dyDescent="0.2">
      <c r="J395" s="22"/>
      <c r="K395" s="22"/>
    </row>
    <row r="396" spans="10:11" ht="12.75" x14ac:dyDescent="0.2">
      <c r="J396" s="22"/>
      <c r="K396" s="22"/>
    </row>
    <row r="397" spans="10:11" ht="12.75" x14ac:dyDescent="0.2">
      <c r="J397" s="22"/>
      <c r="K397" s="22"/>
    </row>
    <row r="398" spans="10:11" ht="12.75" x14ac:dyDescent="0.2">
      <c r="J398" s="22"/>
      <c r="K398" s="22"/>
    </row>
    <row r="399" spans="10:11" ht="12.75" x14ac:dyDescent="0.2">
      <c r="J399" s="22"/>
      <c r="K399" s="22"/>
    </row>
    <row r="400" spans="10:11" ht="12.75" x14ac:dyDescent="0.2">
      <c r="J400" s="22"/>
      <c r="K400" s="22"/>
    </row>
    <row r="401" spans="10:11" ht="12.75" x14ac:dyDescent="0.2">
      <c r="J401" s="22"/>
      <c r="K401" s="22"/>
    </row>
    <row r="402" spans="10:11" ht="12.75" x14ac:dyDescent="0.2">
      <c r="J402" s="22"/>
      <c r="K402" s="22"/>
    </row>
    <row r="403" spans="10:11" ht="12.75" x14ac:dyDescent="0.2">
      <c r="J403" s="22"/>
      <c r="K403" s="22"/>
    </row>
    <row r="404" spans="10:11" ht="12.75" x14ac:dyDescent="0.2">
      <c r="J404" s="22"/>
      <c r="K404" s="22"/>
    </row>
    <row r="405" spans="10:11" ht="12.75" x14ac:dyDescent="0.2">
      <c r="J405" s="22"/>
      <c r="K405" s="22"/>
    </row>
    <row r="406" spans="10:11" ht="12.75" x14ac:dyDescent="0.2">
      <c r="J406" s="22"/>
      <c r="K406" s="22"/>
    </row>
    <row r="407" spans="10:11" ht="12.75" x14ac:dyDescent="0.2">
      <c r="J407" s="22"/>
      <c r="K407" s="22"/>
    </row>
    <row r="408" spans="10:11" ht="12.75" x14ac:dyDescent="0.2">
      <c r="J408" s="22"/>
      <c r="K408" s="22"/>
    </row>
    <row r="409" spans="10:11" ht="12.75" x14ac:dyDescent="0.2">
      <c r="J409" s="22"/>
      <c r="K409" s="22"/>
    </row>
    <row r="410" spans="10:11" ht="12.75" x14ac:dyDescent="0.2">
      <c r="J410" s="22"/>
      <c r="K410" s="22"/>
    </row>
    <row r="411" spans="10:11" ht="12.75" x14ac:dyDescent="0.2">
      <c r="J411" s="22"/>
      <c r="K411" s="22"/>
    </row>
    <row r="412" spans="10:11" ht="12.75" x14ac:dyDescent="0.2">
      <c r="J412" s="22"/>
      <c r="K412" s="22"/>
    </row>
    <row r="413" spans="10:11" ht="12.75" x14ac:dyDescent="0.2">
      <c r="J413" s="22"/>
      <c r="K413" s="22"/>
    </row>
    <row r="414" spans="10:11" ht="12.75" x14ac:dyDescent="0.2">
      <c r="J414" s="22"/>
      <c r="K414" s="22"/>
    </row>
    <row r="415" spans="10:11" ht="12.75" x14ac:dyDescent="0.2">
      <c r="J415" s="22"/>
      <c r="K415" s="22"/>
    </row>
    <row r="416" spans="10:11" ht="12.75" x14ac:dyDescent="0.2">
      <c r="J416" s="22"/>
      <c r="K416" s="22"/>
    </row>
    <row r="417" spans="10:11" ht="12.75" x14ac:dyDescent="0.2">
      <c r="J417" s="22"/>
      <c r="K417" s="22"/>
    </row>
    <row r="418" spans="10:11" ht="12.75" x14ac:dyDescent="0.2">
      <c r="J418" s="22"/>
      <c r="K418" s="22"/>
    </row>
    <row r="419" spans="10:11" ht="12.75" x14ac:dyDescent="0.2">
      <c r="J419" s="22"/>
      <c r="K419" s="22"/>
    </row>
    <row r="420" spans="10:11" ht="12.75" x14ac:dyDescent="0.2">
      <c r="J420" s="22"/>
      <c r="K420" s="22"/>
    </row>
    <row r="421" spans="10:11" ht="12.75" x14ac:dyDescent="0.2">
      <c r="J421" s="22"/>
      <c r="K421" s="22"/>
    </row>
    <row r="422" spans="10:11" ht="12.75" x14ac:dyDescent="0.2">
      <c r="J422" s="22"/>
      <c r="K422" s="22"/>
    </row>
    <row r="423" spans="10:11" ht="12.75" x14ac:dyDescent="0.2">
      <c r="J423" s="22"/>
      <c r="K423" s="22"/>
    </row>
    <row r="424" spans="10:11" ht="12.75" x14ac:dyDescent="0.2">
      <c r="J424" s="22"/>
      <c r="K424" s="22"/>
    </row>
    <row r="425" spans="10:11" ht="12.75" x14ac:dyDescent="0.2">
      <c r="J425" s="22"/>
      <c r="K425" s="22"/>
    </row>
    <row r="426" spans="10:11" ht="12.75" x14ac:dyDescent="0.2">
      <c r="J426" s="22"/>
      <c r="K426" s="22"/>
    </row>
    <row r="427" spans="10:11" ht="12.75" x14ac:dyDescent="0.2">
      <c r="J427" s="22"/>
      <c r="K427" s="22"/>
    </row>
    <row r="428" spans="10:11" ht="12.75" x14ac:dyDescent="0.2">
      <c r="J428" s="22"/>
      <c r="K428" s="22"/>
    </row>
    <row r="429" spans="10:11" ht="12.75" x14ac:dyDescent="0.2">
      <c r="J429" s="22"/>
      <c r="K429" s="22"/>
    </row>
    <row r="430" spans="10:11" ht="12.75" x14ac:dyDescent="0.2">
      <c r="J430" s="22"/>
      <c r="K430" s="22"/>
    </row>
    <row r="431" spans="10:11" ht="12.75" x14ac:dyDescent="0.2">
      <c r="J431" s="22"/>
      <c r="K431" s="22"/>
    </row>
    <row r="432" spans="10:11" ht="12.75" x14ac:dyDescent="0.2">
      <c r="J432" s="22"/>
      <c r="K432" s="22"/>
    </row>
    <row r="433" spans="10:11" ht="12.75" x14ac:dyDescent="0.2">
      <c r="J433" s="22"/>
      <c r="K433" s="22"/>
    </row>
    <row r="434" spans="10:11" ht="12.75" x14ac:dyDescent="0.2">
      <c r="J434" s="22"/>
      <c r="K434" s="22"/>
    </row>
    <row r="435" spans="10:11" ht="12.75" x14ac:dyDescent="0.2">
      <c r="J435" s="22"/>
      <c r="K435" s="22"/>
    </row>
    <row r="436" spans="10:11" ht="12.75" x14ac:dyDescent="0.2">
      <c r="J436" s="22"/>
      <c r="K436" s="22"/>
    </row>
    <row r="437" spans="10:11" ht="12.75" x14ac:dyDescent="0.2">
      <c r="J437" s="22"/>
      <c r="K437" s="22"/>
    </row>
    <row r="438" spans="10:11" ht="12.75" x14ac:dyDescent="0.2">
      <c r="J438" s="22"/>
      <c r="K438" s="22"/>
    </row>
    <row r="439" spans="10:11" ht="12.75" x14ac:dyDescent="0.2">
      <c r="J439" s="22"/>
      <c r="K439" s="22"/>
    </row>
    <row r="440" spans="10:11" ht="12.75" x14ac:dyDescent="0.2">
      <c r="J440" s="22"/>
      <c r="K440" s="22"/>
    </row>
    <row r="441" spans="10:11" ht="12.75" x14ac:dyDescent="0.2">
      <c r="J441" s="22"/>
      <c r="K441" s="22"/>
    </row>
    <row r="442" spans="10:11" ht="12.75" x14ac:dyDescent="0.2">
      <c r="J442" s="22"/>
      <c r="K442" s="22"/>
    </row>
    <row r="443" spans="10:11" ht="12.75" x14ac:dyDescent="0.2">
      <c r="J443" s="22"/>
      <c r="K443" s="22"/>
    </row>
    <row r="444" spans="10:11" ht="12.75" x14ac:dyDescent="0.2">
      <c r="J444" s="22"/>
      <c r="K444" s="22"/>
    </row>
    <row r="445" spans="10:11" ht="12.75" x14ac:dyDescent="0.2">
      <c r="J445" s="22"/>
      <c r="K445" s="22"/>
    </row>
    <row r="446" spans="10:11" ht="12.75" x14ac:dyDescent="0.2">
      <c r="J446" s="22"/>
      <c r="K446" s="22"/>
    </row>
    <row r="447" spans="10:11" ht="12.75" x14ac:dyDescent="0.2">
      <c r="J447" s="22"/>
      <c r="K447" s="22"/>
    </row>
    <row r="448" spans="10:11" ht="12.75" x14ac:dyDescent="0.2">
      <c r="J448" s="22"/>
      <c r="K448" s="22"/>
    </row>
    <row r="449" spans="10:11" ht="12.75" x14ac:dyDescent="0.2">
      <c r="J449" s="22"/>
      <c r="K449" s="22"/>
    </row>
    <row r="450" spans="10:11" ht="12.75" x14ac:dyDescent="0.2">
      <c r="J450" s="22"/>
      <c r="K450" s="22"/>
    </row>
    <row r="451" spans="10:11" ht="12.75" x14ac:dyDescent="0.2">
      <c r="J451" s="22"/>
      <c r="K451" s="22"/>
    </row>
    <row r="452" spans="10:11" ht="12.75" x14ac:dyDescent="0.2">
      <c r="J452" s="22"/>
      <c r="K452" s="22"/>
    </row>
    <row r="453" spans="10:11" ht="12.75" x14ac:dyDescent="0.2">
      <c r="J453" s="22"/>
      <c r="K453" s="22"/>
    </row>
    <row r="454" spans="10:11" ht="12.75" x14ac:dyDescent="0.2">
      <c r="J454" s="22"/>
      <c r="K454" s="22"/>
    </row>
    <row r="455" spans="10:11" ht="12.75" x14ac:dyDescent="0.2">
      <c r="J455" s="22"/>
      <c r="K455" s="22"/>
    </row>
    <row r="456" spans="10:11" ht="12.75" x14ac:dyDescent="0.2">
      <c r="J456" s="22"/>
      <c r="K456" s="22"/>
    </row>
    <row r="457" spans="10:11" ht="12.75" x14ac:dyDescent="0.2">
      <c r="J457" s="22"/>
      <c r="K457" s="22"/>
    </row>
    <row r="458" spans="10:11" ht="12.75" x14ac:dyDescent="0.2">
      <c r="J458" s="22"/>
      <c r="K458" s="22"/>
    </row>
    <row r="459" spans="10:11" ht="12.75" x14ac:dyDescent="0.2">
      <c r="J459" s="22"/>
      <c r="K459" s="22"/>
    </row>
    <row r="460" spans="10:11" ht="12.75" x14ac:dyDescent="0.2">
      <c r="J460" s="22"/>
      <c r="K460" s="22"/>
    </row>
    <row r="461" spans="10:11" ht="12.75" x14ac:dyDescent="0.2">
      <c r="J461" s="22"/>
      <c r="K461" s="22"/>
    </row>
    <row r="462" spans="10:11" ht="12.75" x14ac:dyDescent="0.2">
      <c r="J462" s="22"/>
      <c r="K462" s="22"/>
    </row>
    <row r="463" spans="10:11" ht="12.75" x14ac:dyDescent="0.2">
      <c r="J463" s="22"/>
      <c r="K463" s="22"/>
    </row>
    <row r="464" spans="10:11" ht="12.75" x14ac:dyDescent="0.2">
      <c r="J464" s="22"/>
      <c r="K464" s="22"/>
    </row>
    <row r="465" spans="10:11" ht="12.75" x14ac:dyDescent="0.2">
      <c r="J465" s="22"/>
      <c r="K465" s="22"/>
    </row>
    <row r="466" spans="10:11" ht="12.75" x14ac:dyDescent="0.2">
      <c r="J466" s="22"/>
      <c r="K466" s="22"/>
    </row>
    <row r="467" spans="10:11" ht="12.75" x14ac:dyDescent="0.2">
      <c r="J467" s="22"/>
      <c r="K467" s="22"/>
    </row>
    <row r="468" spans="10:11" ht="12.75" x14ac:dyDescent="0.2">
      <c r="J468" s="22"/>
      <c r="K468" s="22"/>
    </row>
    <row r="469" spans="10:11" ht="12.75" x14ac:dyDescent="0.2">
      <c r="J469" s="22"/>
      <c r="K469" s="22"/>
    </row>
    <row r="470" spans="10:11" ht="12.75" x14ac:dyDescent="0.2">
      <c r="J470" s="22"/>
      <c r="K470" s="22"/>
    </row>
    <row r="471" spans="10:11" ht="12.75" x14ac:dyDescent="0.2">
      <c r="J471" s="22"/>
      <c r="K471" s="22"/>
    </row>
    <row r="472" spans="10:11" ht="12.75" x14ac:dyDescent="0.2">
      <c r="J472" s="22"/>
      <c r="K472" s="22"/>
    </row>
    <row r="473" spans="10:11" ht="12.75" x14ac:dyDescent="0.2">
      <c r="J473" s="22"/>
      <c r="K473" s="22"/>
    </row>
    <row r="474" spans="10:11" ht="12.75" x14ac:dyDescent="0.2">
      <c r="J474" s="22"/>
      <c r="K474" s="22"/>
    </row>
    <row r="475" spans="10:11" ht="12.75" x14ac:dyDescent="0.2">
      <c r="J475" s="22"/>
      <c r="K475" s="22"/>
    </row>
    <row r="476" spans="10:11" ht="12.75" x14ac:dyDescent="0.2">
      <c r="J476" s="22"/>
      <c r="K476" s="22"/>
    </row>
    <row r="477" spans="10:11" ht="12.75" x14ac:dyDescent="0.2">
      <c r="J477" s="22"/>
      <c r="K477" s="22"/>
    </row>
    <row r="478" spans="10:11" ht="12.75" x14ac:dyDescent="0.2">
      <c r="J478" s="22"/>
      <c r="K478" s="22"/>
    </row>
    <row r="479" spans="10:11" ht="12.75" x14ac:dyDescent="0.2">
      <c r="J479" s="22"/>
      <c r="K479" s="22"/>
    </row>
    <row r="480" spans="10:11" ht="12.75" x14ac:dyDescent="0.2">
      <c r="J480" s="22"/>
      <c r="K480" s="22"/>
    </row>
    <row r="481" spans="10:11" ht="12.75" x14ac:dyDescent="0.2">
      <c r="J481" s="22"/>
      <c r="K481" s="22"/>
    </row>
    <row r="482" spans="10:11" ht="12.75" x14ac:dyDescent="0.2">
      <c r="J482" s="22"/>
      <c r="K482" s="22"/>
    </row>
    <row r="483" spans="10:11" ht="12.75" x14ac:dyDescent="0.2">
      <c r="J483" s="22"/>
      <c r="K483" s="22"/>
    </row>
    <row r="484" spans="10:11" ht="12.75" x14ac:dyDescent="0.2">
      <c r="J484" s="22"/>
      <c r="K484" s="22"/>
    </row>
    <row r="485" spans="10:11" ht="12.75" x14ac:dyDescent="0.2">
      <c r="J485" s="22"/>
      <c r="K485" s="22"/>
    </row>
    <row r="486" spans="10:11" ht="12.75" x14ac:dyDescent="0.2">
      <c r="J486" s="22"/>
      <c r="K486" s="22"/>
    </row>
    <row r="487" spans="10:11" ht="12.75" x14ac:dyDescent="0.2">
      <c r="J487" s="22"/>
      <c r="K487" s="22"/>
    </row>
    <row r="488" spans="10:11" ht="12.75" x14ac:dyDescent="0.2">
      <c r="J488" s="22"/>
      <c r="K488" s="22"/>
    </row>
    <row r="489" spans="10:11" ht="12.75" x14ac:dyDescent="0.2">
      <c r="J489" s="22"/>
      <c r="K489" s="22"/>
    </row>
    <row r="490" spans="10:11" ht="12.75" x14ac:dyDescent="0.2">
      <c r="J490" s="22"/>
      <c r="K490" s="22"/>
    </row>
    <row r="491" spans="10:11" ht="12.75" x14ac:dyDescent="0.2">
      <c r="J491" s="22"/>
      <c r="K491" s="22"/>
    </row>
    <row r="492" spans="10:11" ht="12.75" x14ac:dyDescent="0.2">
      <c r="J492" s="22"/>
      <c r="K492" s="22"/>
    </row>
    <row r="493" spans="10:11" ht="12.75" x14ac:dyDescent="0.2">
      <c r="J493" s="22"/>
      <c r="K493" s="22"/>
    </row>
    <row r="494" spans="10:11" ht="12.75" x14ac:dyDescent="0.2">
      <c r="J494" s="22"/>
      <c r="K494" s="22"/>
    </row>
    <row r="495" spans="10:11" ht="12.75" x14ac:dyDescent="0.2">
      <c r="J495" s="22"/>
      <c r="K495" s="22"/>
    </row>
    <row r="496" spans="10:11" ht="12.75" x14ac:dyDescent="0.2">
      <c r="J496" s="22"/>
      <c r="K496" s="22"/>
    </row>
    <row r="497" spans="10:11" ht="12.75" x14ac:dyDescent="0.2">
      <c r="J497" s="22"/>
      <c r="K497" s="22"/>
    </row>
    <row r="498" spans="10:11" ht="12.75" x14ac:dyDescent="0.2">
      <c r="J498" s="22"/>
      <c r="K498" s="22"/>
    </row>
    <row r="499" spans="10:11" ht="12.75" x14ac:dyDescent="0.2">
      <c r="J499" s="22"/>
      <c r="K499" s="22"/>
    </row>
    <row r="500" spans="10:11" ht="12.75" x14ac:dyDescent="0.2">
      <c r="J500" s="22"/>
      <c r="K500" s="22"/>
    </row>
    <row r="501" spans="10:11" ht="12.75" x14ac:dyDescent="0.2">
      <c r="J501" s="22"/>
      <c r="K501" s="22"/>
    </row>
    <row r="502" spans="10:11" ht="12.75" x14ac:dyDescent="0.2">
      <c r="J502" s="22"/>
      <c r="K502" s="22"/>
    </row>
    <row r="503" spans="10:11" ht="12.75" x14ac:dyDescent="0.2">
      <c r="J503" s="22"/>
      <c r="K503" s="22"/>
    </row>
    <row r="504" spans="10:11" ht="12.75" x14ac:dyDescent="0.2">
      <c r="J504" s="22"/>
      <c r="K504" s="22"/>
    </row>
    <row r="505" spans="10:11" ht="12.75" x14ac:dyDescent="0.2">
      <c r="J505" s="22"/>
      <c r="K505" s="22"/>
    </row>
    <row r="506" spans="10:11" ht="12.75" x14ac:dyDescent="0.2">
      <c r="J506" s="22"/>
      <c r="K506" s="22"/>
    </row>
    <row r="507" spans="10:11" ht="12.75" x14ac:dyDescent="0.2">
      <c r="J507" s="22"/>
      <c r="K507" s="22"/>
    </row>
    <row r="508" spans="10:11" ht="12.75" x14ac:dyDescent="0.2">
      <c r="J508" s="22"/>
      <c r="K508" s="22"/>
    </row>
    <row r="509" spans="10:11" ht="12.75" x14ac:dyDescent="0.2">
      <c r="J509" s="22"/>
      <c r="K509" s="22"/>
    </row>
    <row r="510" spans="10:11" ht="12.75" x14ac:dyDescent="0.2">
      <c r="J510" s="22"/>
      <c r="K510" s="22"/>
    </row>
    <row r="511" spans="10:11" ht="12.75" x14ac:dyDescent="0.2">
      <c r="J511" s="22"/>
      <c r="K511" s="22"/>
    </row>
    <row r="512" spans="10:11" ht="12.75" x14ac:dyDescent="0.2">
      <c r="J512" s="22"/>
      <c r="K512" s="22"/>
    </row>
    <row r="513" spans="10:11" ht="12.75" x14ac:dyDescent="0.2">
      <c r="J513" s="22"/>
      <c r="K513" s="22"/>
    </row>
    <row r="514" spans="10:11" ht="12.75" x14ac:dyDescent="0.2">
      <c r="J514" s="22"/>
      <c r="K514" s="22"/>
    </row>
    <row r="515" spans="10:11" ht="12.75" x14ac:dyDescent="0.2">
      <c r="J515" s="22"/>
      <c r="K515" s="22"/>
    </row>
    <row r="516" spans="10:11" ht="12.75" x14ac:dyDescent="0.2">
      <c r="J516" s="22"/>
      <c r="K516" s="22"/>
    </row>
    <row r="517" spans="10:11" ht="12.75" x14ac:dyDescent="0.2">
      <c r="J517" s="22"/>
      <c r="K517" s="22"/>
    </row>
    <row r="518" spans="10:11" ht="12.75" x14ac:dyDescent="0.2">
      <c r="J518" s="22"/>
      <c r="K518" s="22"/>
    </row>
    <row r="519" spans="10:11" ht="12.75" x14ac:dyDescent="0.2">
      <c r="J519" s="22"/>
      <c r="K519" s="22"/>
    </row>
    <row r="520" spans="10:11" ht="12.75" x14ac:dyDescent="0.2">
      <c r="J520" s="22"/>
      <c r="K520" s="22"/>
    </row>
    <row r="521" spans="10:11" ht="12.75" x14ac:dyDescent="0.2">
      <c r="J521" s="22"/>
      <c r="K521" s="22"/>
    </row>
    <row r="522" spans="10:11" ht="12.75" x14ac:dyDescent="0.2">
      <c r="J522" s="22"/>
      <c r="K522" s="22"/>
    </row>
    <row r="523" spans="10:11" ht="12.75" x14ac:dyDescent="0.2">
      <c r="J523" s="22"/>
      <c r="K523" s="22"/>
    </row>
    <row r="524" spans="10:11" ht="12.75" x14ac:dyDescent="0.2">
      <c r="J524" s="22"/>
      <c r="K524" s="22"/>
    </row>
    <row r="525" spans="10:11" ht="12.75" x14ac:dyDescent="0.2">
      <c r="J525" s="22"/>
      <c r="K525" s="22"/>
    </row>
    <row r="526" spans="10:11" ht="12.75" x14ac:dyDescent="0.2">
      <c r="J526" s="22"/>
      <c r="K526" s="22"/>
    </row>
    <row r="527" spans="10:11" ht="12.75" x14ac:dyDescent="0.2">
      <c r="J527" s="22"/>
      <c r="K527" s="22"/>
    </row>
    <row r="528" spans="10:11" ht="12.75" x14ac:dyDescent="0.2">
      <c r="J528" s="22"/>
      <c r="K528" s="22"/>
    </row>
    <row r="529" spans="10:11" ht="12.75" x14ac:dyDescent="0.2">
      <c r="J529" s="22"/>
      <c r="K529" s="22"/>
    </row>
    <row r="530" spans="10:11" ht="12.75" x14ac:dyDescent="0.2">
      <c r="J530" s="22"/>
      <c r="K530" s="22"/>
    </row>
    <row r="531" spans="10:11" ht="12.75" x14ac:dyDescent="0.2">
      <c r="J531" s="22"/>
      <c r="K531" s="22"/>
    </row>
    <row r="532" spans="10:11" ht="12.75" x14ac:dyDescent="0.2">
      <c r="J532" s="22"/>
      <c r="K532" s="22"/>
    </row>
    <row r="533" spans="10:11" ht="12.75" x14ac:dyDescent="0.2">
      <c r="J533" s="22"/>
      <c r="K533" s="22"/>
    </row>
    <row r="534" spans="10:11" ht="12.75" x14ac:dyDescent="0.2">
      <c r="J534" s="22"/>
      <c r="K534" s="22"/>
    </row>
    <row r="535" spans="10:11" ht="12.75" x14ac:dyDescent="0.2">
      <c r="J535" s="22"/>
      <c r="K535" s="22"/>
    </row>
    <row r="536" spans="10:11" ht="12.75" x14ac:dyDescent="0.2">
      <c r="J536" s="22"/>
      <c r="K536" s="22"/>
    </row>
    <row r="537" spans="10:11" ht="12.75" x14ac:dyDescent="0.2">
      <c r="J537" s="22"/>
      <c r="K537" s="22"/>
    </row>
    <row r="538" spans="10:11" ht="12.75" x14ac:dyDescent="0.2">
      <c r="J538" s="22"/>
      <c r="K538" s="22"/>
    </row>
    <row r="539" spans="10:11" ht="12.75" x14ac:dyDescent="0.2">
      <c r="J539" s="22"/>
      <c r="K539" s="22"/>
    </row>
    <row r="540" spans="10:11" ht="12.75" x14ac:dyDescent="0.2">
      <c r="J540" s="22"/>
      <c r="K540" s="22"/>
    </row>
    <row r="541" spans="10:11" ht="12.75" x14ac:dyDescent="0.2">
      <c r="J541" s="22"/>
      <c r="K541" s="22"/>
    </row>
    <row r="542" spans="10:11" ht="12.75" x14ac:dyDescent="0.2">
      <c r="J542" s="22"/>
      <c r="K542" s="22"/>
    </row>
    <row r="543" spans="10:11" ht="12.75" x14ac:dyDescent="0.2">
      <c r="J543" s="22"/>
      <c r="K543" s="22"/>
    </row>
    <row r="544" spans="10:11" ht="12.75" x14ac:dyDescent="0.2">
      <c r="J544" s="22"/>
      <c r="K544" s="22"/>
    </row>
    <row r="545" spans="10:11" ht="12.75" x14ac:dyDescent="0.2">
      <c r="J545" s="22"/>
      <c r="K545" s="22"/>
    </row>
    <row r="546" spans="10:11" ht="12.75" x14ac:dyDescent="0.2">
      <c r="J546" s="22"/>
      <c r="K546" s="22"/>
    </row>
    <row r="547" spans="10:11" ht="12.75" x14ac:dyDescent="0.2">
      <c r="J547" s="22"/>
      <c r="K547" s="22"/>
    </row>
    <row r="548" spans="10:11" ht="12.75" x14ac:dyDescent="0.2">
      <c r="J548" s="22"/>
      <c r="K548" s="22"/>
    </row>
    <row r="549" spans="10:11" ht="12.75" x14ac:dyDescent="0.2">
      <c r="J549" s="22"/>
      <c r="K549" s="22"/>
    </row>
    <row r="550" spans="10:11" ht="12.75" x14ac:dyDescent="0.2">
      <c r="J550" s="22"/>
      <c r="K550" s="22"/>
    </row>
    <row r="551" spans="10:11" ht="12.75" x14ac:dyDescent="0.2">
      <c r="J551" s="22"/>
      <c r="K551" s="22"/>
    </row>
    <row r="552" spans="10:11" ht="12.75" x14ac:dyDescent="0.2">
      <c r="J552" s="22"/>
      <c r="K552" s="22"/>
    </row>
    <row r="553" spans="10:11" ht="12.75" x14ac:dyDescent="0.2">
      <c r="J553" s="22"/>
      <c r="K553" s="22"/>
    </row>
    <row r="554" spans="10:11" ht="12.75" x14ac:dyDescent="0.2">
      <c r="J554" s="22"/>
      <c r="K554" s="22"/>
    </row>
    <row r="555" spans="10:11" ht="12.75" x14ac:dyDescent="0.2">
      <c r="J555" s="22"/>
      <c r="K555" s="22"/>
    </row>
    <row r="556" spans="10:11" ht="12.75" x14ac:dyDescent="0.2">
      <c r="J556" s="22"/>
      <c r="K556" s="22"/>
    </row>
    <row r="557" spans="10:11" ht="12.75" x14ac:dyDescent="0.2">
      <c r="J557" s="22"/>
      <c r="K557" s="22"/>
    </row>
    <row r="558" spans="10:11" ht="12.75" x14ac:dyDescent="0.2">
      <c r="J558" s="22"/>
      <c r="K558" s="22"/>
    </row>
    <row r="559" spans="10:11" ht="12.75" x14ac:dyDescent="0.2">
      <c r="J559" s="22"/>
      <c r="K559" s="22"/>
    </row>
    <row r="560" spans="10:11" ht="12.75" x14ac:dyDescent="0.2">
      <c r="J560" s="22"/>
      <c r="K560" s="22"/>
    </row>
    <row r="561" spans="10:11" ht="12.75" x14ac:dyDescent="0.2">
      <c r="J561" s="22"/>
      <c r="K561" s="22"/>
    </row>
    <row r="562" spans="10:11" ht="12.75" x14ac:dyDescent="0.2">
      <c r="J562" s="22"/>
      <c r="K562" s="22"/>
    </row>
    <row r="563" spans="10:11" ht="12.75" x14ac:dyDescent="0.2">
      <c r="J563" s="22"/>
      <c r="K563" s="22"/>
    </row>
    <row r="564" spans="10:11" ht="12.75" x14ac:dyDescent="0.2">
      <c r="J564" s="22"/>
      <c r="K564" s="22"/>
    </row>
    <row r="565" spans="10:11" ht="12.75" x14ac:dyDescent="0.2">
      <c r="J565" s="22"/>
      <c r="K565" s="22"/>
    </row>
    <row r="566" spans="10:11" ht="12.75" x14ac:dyDescent="0.2">
      <c r="J566" s="22"/>
      <c r="K566" s="22"/>
    </row>
    <row r="567" spans="10:11" ht="12.75" x14ac:dyDescent="0.2">
      <c r="J567" s="22"/>
      <c r="K567" s="22"/>
    </row>
    <row r="568" spans="10:11" ht="12.75" x14ac:dyDescent="0.2">
      <c r="J568" s="22"/>
      <c r="K568" s="22"/>
    </row>
    <row r="569" spans="10:11" ht="12.75" x14ac:dyDescent="0.2">
      <c r="J569" s="22"/>
      <c r="K569" s="22"/>
    </row>
    <row r="570" spans="10:11" ht="12.75" x14ac:dyDescent="0.2">
      <c r="J570" s="22"/>
      <c r="K570" s="22"/>
    </row>
    <row r="571" spans="10:11" ht="12.75" x14ac:dyDescent="0.2">
      <c r="J571" s="22"/>
      <c r="K571" s="22"/>
    </row>
    <row r="572" spans="10:11" ht="12.75" x14ac:dyDescent="0.2">
      <c r="J572" s="22"/>
      <c r="K572" s="22"/>
    </row>
    <row r="573" spans="10:11" ht="12.75" x14ac:dyDescent="0.2">
      <c r="J573" s="22"/>
      <c r="K573" s="22"/>
    </row>
    <row r="574" spans="10:11" ht="12.75" x14ac:dyDescent="0.2">
      <c r="J574" s="22"/>
      <c r="K574" s="22"/>
    </row>
    <row r="575" spans="10:11" ht="12.75" x14ac:dyDescent="0.2">
      <c r="J575" s="22"/>
      <c r="K575" s="22"/>
    </row>
    <row r="576" spans="10:11" ht="12.75" x14ac:dyDescent="0.2">
      <c r="J576" s="22"/>
      <c r="K576" s="22"/>
    </row>
    <row r="577" spans="10:11" ht="12.75" x14ac:dyDescent="0.2">
      <c r="J577" s="22"/>
      <c r="K577" s="22"/>
    </row>
    <row r="578" spans="10:11" ht="12.75" x14ac:dyDescent="0.2">
      <c r="J578" s="22"/>
      <c r="K578" s="22"/>
    </row>
    <row r="579" spans="10:11" ht="12.75" x14ac:dyDescent="0.2">
      <c r="J579" s="22"/>
      <c r="K579" s="22"/>
    </row>
    <row r="580" spans="10:11" ht="12.75" x14ac:dyDescent="0.2">
      <c r="J580" s="22"/>
      <c r="K580" s="22"/>
    </row>
    <row r="581" spans="10:11" ht="12.75" x14ac:dyDescent="0.2">
      <c r="J581" s="22"/>
      <c r="K581" s="22"/>
    </row>
    <row r="582" spans="10:11" ht="12.75" x14ac:dyDescent="0.2">
      <c r="J582" s="22"/>
      <c r="K582" s="22"/>
    </row>
    <row r="583" spans="10:11" ht="12.75" x14ac:dyDescent="0.2">
      <c r="J583" s="22"/>
      <c r="K583" s="22"/>
    </row>
    <row r="584" spans="10:11" ht="12.75" x14ac:dyDescent="0.2">
      <c r="J584" s="22"/>
      <c r="K584" s="22"/>
    </row>
    <row r="585" spans="10:11" ht="12.75" x14ac:dyDescent="0.2">
      <c r="J585" s="22"/>
      <c r="K585" s="22"/>
    </row>
    <row r="586" spans="10:11" ht="12.75" x14ac:dyDescent="0.2">
      <c r="J586" s="22"/>
      <c r="K586" s="22"/>
    </row>
    <row r="587" spans="10:11" ht="12.75" x14ac:dyDescent="0.2">
      <c r="J587" s="22"/>
      <c r="K587" s="22"/>
    </row>
    <row r="588" spans="10:11" ht="12.75" x14ac:dyDescent="0.2">
      <c r="J588" s="22"/>
      <c r="K588" s="22"/>
    </row>
    <row r="589" spans="10:11" ht="12.75" x14ac:dyDescent="0.2">
      <c r="J589" s="22"/>
      <c r="K589" s="22"/>
    </row>
    <row r="590" spans="10:11" ht="12.75" x14ac:dyDescent="0.2">
      <c r="J590" s="22"/>
      <c r="K590" s="22"/>
    </row>
    <row r="591" spans="10:11" ht="12.75" x14ac:dyDescent="0.2">
      <c r="J591" s="22"/>
      <c r="K591" s="22"/>
    </row>
    <row r="592" spans="10:11" ht="12.75" x14ac:dyDescent="0.2">
      <c r="J592" s="22"/>
      <c r="K592" s="22"/>
    </row>
    <row r="593" spans="10:11" ht="12.75" x14ac:dyDescent="0.2">
      <c r="J593" s="22"/>
      <c r="K593" s="22"/>
    </row>
    <row r="594" spans="10:11" ht="12.75" x14ac:dyDescent="0.2">
      <c r="J594" s="22"/>
      <c r="K594" s="22"/>
    </row>
    <row r="595" spans="10:11" ht="12.75" x14ac:dyDescent="0.2">
      <c r="J595" s="22"/>
      <c r="K595" s="22"/>
    </row>
    <row r="596" spans="10:11" ht="12.75" x14ac:dyDescent="0.2">
      <c r="J596" s="22"/>
      <c r="K596" s="22"/>
    </row>
    <row r="597" spans="10:11" ht="12.75" x14ac:dyDescent="0.2">
      <c r="J597" s="22"/>
      <c r="K597" s="22"/>
    </row>
    <row r="598" spans="10:11" ht="12.75" x14ac:dyDescent="0.2">
      <c r="J598" s="22"/>
      <c r="K598" s="22"/>
    </row>
    <row r="599" spans="10:11" ht="12.75" x14ac:dyDescent="0.2">
      <c r="J599" s="22"/>
      <c r="K599" s="22"/>
    </row>
    <row r="600" spans="10:11" ht="12.75" x14ac:dyDescent="0.2">
      <c r="J600" s="22"/>
      <c r="K600" s="22"/>
    </row>
    <row r="601" spans="10:11" ht="12.75" x14ac:dyDescent="0.2">
      <c r="J601" s="22"/>
      <c r="K601" s="22"/>
    </row>
    <row r="602" spans="10:11" ht="12.75" x14ac:dyDescent="0.2">
      <c r="J602" s="22"/>
      <c r="K602" s="22"/>
    </row>
    <row r="603" spans="10:11" ht="12.75" x14ac:dyDescent="0.2">
      <c r="J603" s="22"/>
      <c r="K603" s="22"/>
    </row>
    <row r="604" spans="10:11" ht="12.75" x14ac:dyDescent="0.2">
      <c r="J604" s="22"/>
      <c r="K604" s="22"/>
    </row>
    <row r="605" spans="10:11" ht="12.75" x14ac:dyDescent="0.2">
      <c r="J605" s="22"/>
      <c r="K605" s="22"/>
    </row>
    <row r="606" spans="10:11" ht="12.75" x14ac:dyDescent="0.2">
      <c r="J606" s="22"/>
      <c r="K606" s="22"/>
    </row>
    <row r="607" spans="10:11" ht="12.75" x14ac:dyDescent="0.2">
      <c r="J607" s="22"/>
      <c r="K607" s="22"/>
    </row>
    <row r="608" spans="10:11" ht="12.75" x14ac:dyDescent="0.2">
      <c r="J608" s="22"/>
      <c r="K608" s="22"/>
    </row>
    <row r="609" spans="10:11" ht="12.75" x14ac:dyDescent="0.2">
      <c r="J609" s="22"/>
      <c r="K609" s="22"/>
    </row>
    <row r="610" spans="10:11" ht="12.75" x14ac:dyDescent="0.2">
      <c r="J610" s="22"/>
      <c r="K610" s="22"/>
    </row>
    <row r="611" spans="10:11" ht="12.75" x14ac:dyDescent="0.2">
      <c r="J611" s="22"/>
      <c r="K611" s="22"/>
    </row>
    <row r="612" spans="10:11" ht="12.75" x14ac:dyDescent="0.2">
      <c r="J612" s="22"/>
      <c r="K612" s="22"/>
    </row>
    <row r="613" spans="10:11" ht="12.75" x14ac:dyDescent="0.2">
      <c r="J613" s="22"/>
      <c r="K613" s="22"/>
    </row>
    <row r="614" spans="10:11" ht="12.75" x14ac:dyDescent="0.2">
      <c r="J614" s="22"/>
      <c r="K614" s="22"/>
    </row>
    <row r="615" spans="10:11" ht="12.75" x14ac:dyDescent="0.2">
      <c r="J615" s="22"/>
      <c r="K615" s="22"/>
    </row>
    <row r="616" spans="10:11" ht="12.75" x14ac:dyDescent="0.2">
      <c r="J616" s="22"/>
      <c r="K616" s="22"/>
    </row>
    <row r="617" spans="10:11" ht="12.75" x14ac:dyDescent="0.2">
      <c r="J617" s="22"/>
      <c r="K617" s="22"/>
    </row>
    <row r="618" spans="10:11" ht="12.75" x14ac:dyDescent="0.2">
      <c r="J618" s="22"/>
      <c r="K618" s="22"/>
    </row>
    <row r="619" spans="10:11" ht="12.75" x14ac:dyDescent="0.2">
      <c r="J619" s="22"/>
      <c r="K619" s="22"/>
    </row>
    <row r="620" spans="10:11" ht="12.75" x14ac:dyDescent="0.2">
      <c r="J620" s="22"/>
      <c r="K620" s="22"/>
    </row>
    <row r="621" spans="10:11" ht="12.75" x14ac:dyDescent="0.2">
      <c r="J621" s="22"/>
      <c r="K621" s="22"/>
    </row>
    <row r="622" spans="10:11" ht="12.75" x14ac:dyDescent="0.2">
      <c r="J622" s="22"/>
      <c r="K622" s="22"/>
    </row>
    <row r="623" spans="10:11" ht="12.75" x14ac:dyDescent="0.2">
      <c r="J623" s="22"/>
      <c r="K623" s="22"/>
    </row>
    <row r="624" spans="10:11" ht="12.75" x14ac:dyDescent="0.2">
      <c r="J624" s="22"/>
      <c r="K624" s="22"/>
    </row>
    <row r="625" spans="10:11" ht="12.75" x14ac:dyDescent="0.2">
      <c r="J625" s="22"/>
      <c r="K625" s="22"/>
    </row>
    <row r="626" spans="10:11" ht="12.75" x14ac:dyDescent="0.2">
      <c r="J626" s="22"/>
      <c r="K626" s="22"/>
    </row>
    <row r="627" spans="10:11" ht="12.75" x14ac:dyDescent="0.2">
      <c r="J627" s="22"/>
      <c r="K627" s="22"/>
    </row>
    <row r="628" spans="10:11" ht="12.75" x14ac:dyDescent="0.2">
      <c r="J628" s="22"/>
      <c r="K628" s="22"/>
    </row>
    <row r="629" spans="10:11" ht="12.75" x14ac:dyDescent="0.2">
      <c r="J629" s="22"/>
      <c r="K629" s="22"/>
    </row>
    <row r="630" spans="10:11" ht="12.75" x14ac:dyDescent="0.2">
      <c r="J630" s="22"/>
      <c r="K630" s="22"/>
    </row>
    <row r="631" spans="10:11" ht="12.75" x14ac:dyDescent="0.2">
      <c r="J631" s="22"/>
      <c r="K631" s="22"/>
    </row>
    <row r="632" spans="10:11" ht="12.75" x14ac:dyDescent="0.2">
      <c r="J632" s="22"/>
      <c r="K632" s="22"/>
    </row>
    <row r="633" spans="10:11" ht="12.75" x14ac:dyDescent="0.2">
      <c r="J633" s="22"/>
      <c r="K633" s="22"/>
    </row>
    <row r="634" spans="10:11" ht="12.75" x14ac:dyDescent="0.2">
      <c r="J634" s="22"/>
      <c r="K634" s="22"/>
    </row>
    <row r="635" spans="10:11" ht="12.75" x14ac:dyDescent="0.2">
      <c r="J635" s="22"/>
      <c r="K635" s="22"/>
    </row>
    <row r="636" spans="10:11" ht="12.75" x14ac:dyDescent="0.2">
      <c r="J636" s="22"/>
      <c r="K636" s="22"/>
    </row>
    <row r="637" spans="10:11" ht="12.75" x14ac:dyDescent="0.2">
      <c r="J637" s="22"/>
      <c r="K637" s="22"/>
    </row>
    <row r="638" spans="10:11" ht="12.75" x14ac:dyDescent="0.2">
      <c r="J638" s="22"/>
      <c r="K638" s="22"/>
    </row>
    <row r="639" spans="10:11" ht="12.75" x14ac:dyDescent="0.2">
      <c r="J639" s="22"/>
      <c r="K639" s="22"/>
    </row>
    <row r="640" spans="10:11" ht="12.75" x14ac:dyDescent="0.2">
      <c r="J640" s="22"/>
      <c r="K640" s="22"/>
    </row>
    <row r="641" spans="10:11" ht="12.75" x14ac:dyDescent="0.2">
      <c r="J641" s="22"/>
      <c r="K641" s="22"/>
    </row>
    <row r="642" spans="10:11" ht="12.75" x14ac:dyDescent="0.2">
      <c r="J642" s="22"/>
      <c r="K642" s="22"/>
    </row>
    <row r="643" spans="10:11" ht="12.75" x14ac:dyDescent="0.2">
      <c r="J643" s="22"/>
      <c r="K643" s="22"/>
    </row>
    <row r="644" spans="10:11" ht="12.75" x14ac:dyDescent="0.2">
      <c r="J644" s="22"/>
      <c r="K644" s="22"/>
    </row>
    <row r="645" spans="10:11" ht="12.75" x14ac:dyDescent="0.2">
      <c r="J645" s="22"/>
      <c r="K645" s="22"/>
    </row>
    <row r="646" spans="10:11" ht="12.75" x14ac:dyDescent="0.2">
      <c r="J646" s="22"/>
      <c r="K646" s="22"/>
    </row>
    <row r="647" spans="10:11" ht="12.75" x14ac:dyDescent="0.2">
      <c r="J647" s="22"/>
      <c r="K647" s="22"/>
    </row>
    <row r="648" spans="10:11" ht="12.75" x14ac:dyDescent="0.2">
      <c r="J648" s="22"/>
      <c r="K648" s="22"/>
    </row>
    <row r="649" spans="10:11" ht="12.75" x14ac:dyDescent="0.2">
      <c r="J649" s="22"/>
      <c r="K649" s="22"/>
    </row>
    <row r="650" spans="10:11" ht="12.75" x14ac:dyDescent="0.2">
      <c r="J650" s="22"/>
      <c r="K650" s="22"/>
    </row>
    <row r="651" spans="10:11" ht="12.75" x14ac:dyDescent="0.2">
      <c r="J651" s="22"/>
      <c r="K651" s="22"/>
    </row>
    <row r="652" spans="10:11" ht="12.75" x14ac:dyDescent="0.2">
      <c r="J652" s="22"/>
      <c r="K652" s="22"/>
    </row>
    <row r="653" spans="10:11" ht="12.75" x14ac:dyDescent="0.2">
      <c r="J653" s="22"/>
      <c r="K653" s="22"/>
    </row>
    <row r="654" spans="10:11" ht="12.75" x14ac:dyDescent="0.2">
      <c r="J654" s="22"/>
      <c r="K654" s="22"/>
    </row>
    <row r="655" spans="10:11" ht="12.75" x14ac:dyDescent="0.2">
      <c r="J655" s="22"/>
      <c r="K655" s="22"/>
    </row>
    <row r="656" spans="10:11" ht="12.75" x14ac:dyDescent="0.2">
      <c r="J656" s="22"/>
      <c r="K656" s="22"/>
    </row>
    <row r="657" spans="10:11" ht="12.75" x14ac:dyDescent="0.2">
      <c r="J657" s="22"/>
      <c r="K657" s="22"/>
    </row>
    <row r="658" spans="10:11" ht="12.75" x14ac:dyDescent="0.2">
      <c r="J658" s="22"/>
      <c r="K658" s="22"/>
    </row>
    <row r="659" spans="10:11" ht="12.75" x14ac:dyDescent="0.2">
      <c r="J659" s="22"/>
      <c r="K659" s="22"/>
    </row>
    <row r="660" spans="10:11" ht="12.75" x14ac:dyDescent="0.2">
      <c r="J660" s="22"/>
      <c r="K660" s="22"/>
    </row>
    <row r="661" spans="10:11" ht="12.75" x14ac:dyDescent="0.2">
      <c r="J661" s="22"/>
      <c r="K661" s="22"/>
    </row>
    <row r="662" spans="10:11" ht="12.75" x14ac:dyDescent="0.2">
      <c r="J662" s="22"/>
      <c r="K662" s="22"/>
    </row>
    <row r="663" spans="10:11" ht="12.75" x14ac:dyDescent="0.2">
      <c r="J663" s="22"/>
      <c r="K663" s="22"/>
    </row>
    <row r="664" spans="10:11" ht="12.75" x14ac:dyDescent="0.2">
      <c r="J664" s="22"/>
      <c r="K664" s="22"/>
    </row>
    <row r="665" spans="10:11" ht="12.75" x14ac:dyDescent="0.2">
      <c r="J665" s="22"/>
      <c r="K665" s="22"/>
    </row>
    <row r="666" spans="10:11" ht="12.75" x14ac:dyDescent="0.2">
      <c r="J666" s="22"/>
      <c r="K666" s="22"/>
    </row>
    <row r="667" spans="10:11" ht="12.75" x14ac:dyDescent="0.2">
      <c r="J667" s="22"/>
      <c r="K667" s="22"/>
    </row>
    <row r="668" spans="10:11" ht="12.75" x14ac:dyDescent="0.2">
      <c r="J668" s="22"/>
      <c r="K668" s="22"/>
    </row>
    <row r="669" spans="10:11" ht="12.75" x14ac:dyDescent="0.2">
      <c r="J669" s="22"/>
      <c r="K669" s="22"/>
    </row>
    <row r="670" spans="10:11" ht="12.75" x14ac:dyDescent="0.2">
      <c r="J670" s="22"/>
      <c r="K670" s="22"/>
    </row>
    <row r="671" spans="10:11" ht="12.75" x14ac:dyDescent="0.2">
      <c r="J671" s="22"/>
      <c r="K671" s="22"/>
    </row>
    <row r="672" spans="10:11" ht="12.75" x14ac:dyDescent="0.2">
      <c r="J672" s="22"/>
      <c r="K672" s="22"/>
    </row>
    <row r="673" spans="10:11" ht="12.75" x14ac:dyDescent="0.2">
      <c r="J673" s="22"/>
      <c r="K673" s="22"/>
    </row>
    <row r="674" spans="10:11" ht="12.75" x14ac:dyDescent="0.2">
      <c r="J674" s="22"/>
      <c r="K674" s="22"/>
    </row>
    <row r="675" spans="10:11" ht="12.75" x14ac:dyDescent="0.2">
      <c r="J675" s="22"/>
      <c r="K675" s="22"/>
    </row>
    <row r="676" spans="10:11" ht="12.75" x14ac:dyDescent="0.2">
      <c r="J676" s="22"/>
      <c r="K676" s="22"/>
    </row>
    <row r="677" spans="10:11" ht="12.75" x14ac:dyDescent="0.2">
      <c r="J677" s="22"/>
      <c r="K677" s="22"/>
    </row>
    <row r="678" spans="10:11" ht="12.75" x14ac:dyDescent="0.2">
      <c r="J678" s="22"/>
      <c r="K678" s="22"/>
    </row>
    <row r="679" spans="10:11" ht="12.75" x14ac:dyDescent="0.2">
      <c r="J679" s="22"/>
      <c r="K679" s="22"/>
    </row>
    <row r="680" spans="10:11" ht="12.75" x14ac:dyDescent="0.2">
      <c r="J680" s="22"/>
      <c r="K680" s="22"/>
    </row>
    <row r="681" spans="10:11" ht="12.75" x14ac:dyDescent="0.2">
      <c r="J681" s="22"/>
      <c r="K681" s="22"/>
    </row>
    <row r="682" spans="10:11" ht="12.75" x14ac:dyDescent="0.2">
      <c r="J682" s="22"/>
      <c r="K682" s="22"/>
    </row>
    <row r="683" spans="10:11" ht="12.75" x14ac:dyDescent="0.2">
      <c r="J683" s="22"/>
      <c r="K683" s="22"/>
    </row>
    <row r="684" spans="10:11" ht="12.75" x14ac:dyDescent="0.2">
      <c r="J684" s="22"/>
      <c r="K684" s="22"/>
    </row>
    <row r="685" spans="10:11" ht="12.75" x14ac:dyDescent="0.2">
      <c r="J685" s="22"/>
      <c r="K685" s="22"/>
    </row>
    <row r="686" spans="10:11" ht="12.75" x14ac:dyDescent="0.2">
      <c r="J686" s="22"/>
      <c r="K686" s="22"/>
    </row>
    <row r="687" spans="10:11" ht="12.75" x14ac:dyDescent="0.2">
      <c r="J687" s="22"/>
      <c r="K687" s="22"/>
    </row>
    <row r="688" spans="10:11" ht="12.75" x14ac:dyDescent="0.2">
      <c r="J688" s="22"/>
      <c r="K688" s="22"/>
    </row>
    <row r="689" spans="10:11" ht="12.75" x14ac:dyDescent="0.2">
      <c r="J689" s="22"/>
      <c r="K689" s="22"/>
    </row>
    <row r="690" spans="10:11" ht="12.75" x14ac:dyDescent="0.2">
      <c r="J690" s="22"/>
      <c r="K690" s="22"/>
    </row>
    <row r="691" spans="10:11" ht="12.75" x14ac:dyDescent="0.2">
      <c r="J691" s="22"/>
      <c r="K691" s="22"/>
    </row>
    <row r="692" spans="10:11" ht="12.75" x14ac:dyDescent="0.2">
      <c r="J692" s="22"/>
      <c r="K692" s="22"/>
    </row>
    <row r="693" spans="10:11" ht="12.75" x14ac:dyDescent="0.2">
      <c r="J693" s="22"/>
      <c r="K693" s="22"/>
    </row>
    <row r="694" spans="10:11" ht="12.75" x14ac:dyDescent="0.2">
      <c r="J694" s="22"/>
      <c r="K694" s="22"/>
    </row>
    <row r="695" spans="10:11" ht="12.75" x14ac:dyDescent="0.2">
      <c r="J695" s="22"/>
      <c r="K695" s="22"/>
    </row>
    <row r="696" spans="10:11" ht="12.75" x14ac:dyDescent="0.2">
      <c r="J696" s="22"/>
      <c r="K696" s="22"/>
    </row>
    <row r="697" spans="10:11" ht="12.75" x14ac:dyDescent="0.2">
      <c r="J697" s="22"/>
      <c r="K697" s="22"/>
    </row>
    <row r="698" spans="10:11" ht="12.75" x14ac:dyDescent="0.2">
      <c r="J698" s="22"/>
      <c r="K698" s="22"/>
    </row>
    <row r="699" spans="10:11" ht="12.75" x14ac:dyDescent="0.2">
      <c r="J699" s="22"/>
      <c r="K699" s="22"/>
    </row>
    <row r="700" spans="10:11" ht="12.75" x14ac:dyDescent="0.2">
      <c r="J700" s="22"/>
      <c r="K700" s="22"/>
    </row>
    <row r="701" spans="10:11" ht="12.75" x14ac:dyDescent="0.2">
      <c r="J701" s="22"/>
      <c r="K701" s="22"/>
    </row>
    <row r="702" spans="10:11" ht="12.75" x14ac:dyDescent="0.2">
      <c r="J702" s="22"/>
      <c r="K702" s="22"/>
    </row>
    <row r="703" spans="10:11" ht="12.75" x14ac:dyDescent="0.2">
      <c r="J703" s="22"/>
      <c r="K703" s="22"/>
    </row>
    <row r="704" spans="10:11" ht="12.75" x14ac:dyDescent="0.2">
      <c r="J704" s="22"/>
      <c r="K704" s="22"/>
    </row>
    <row r="705" spans="10:11" ht="12.75" x14ac:dyDescent="0.2">
      <c r="J705" s="22"/>
      <c r="K705" s="22"/>
    </row>
    <row r="706" spans="10:11" ht="12.75" x14ac:dyDescent="0.2">
      <c r="J706" s="22"/>
      <c r="K706" s="22"/>
    </row>
    <row r="707" spans="10:11" ht="12.75" x14ac:dyDescent="0.2">
      <c r="J707" s="22"/>
      <c r="K707" s="22"/>
    </row>
    <row r="708" spans="10:11" ht="12.75" x14ac:dyDescent="0.2">
      <c r="J708" s="22"/>
      <c r="K708" s="22"/>
    </row>
    <row r="709" spans="10:11" ht="12.75" x14ac:dyDescent="0.2">
      <c r="J709" s="22"/>
      <c r="K709" s="22"/>
    </row>
    <row r="710" spans="10:11" ht="12.75" x14ac:dyDescent="0.2">
      <c r="J710" s="22"/>
      <c r="K710" s="22"/>
    </row>
    <row r="711" spans="10:11" ht="12.75" x14ac:dyDescent="0.2">
      <c r="J711" s="22"/>
      <c r="K711" s="22"/>
    </row>
    <row r="712" spans="10:11" ht="12.75" x14ac:dyDescent="0.2">
      <c r="J712" s="22"/>
      <c r="K712" s="22"/>
    </row>
    <row r="713" spans="10:11" ht="12.75" x14ac:dyDescent="0.2">
      <c r="J713" s="22"/>
      <c r="K713" s="22"/>
    </row>
    <row r="714" spans="10:11" ht="12.75" x14ac:dyDescent="0.2">
      <c r="J714" s="22"/>
      <c r="K714" s="22"/>
    </row>
    <row r="715" spans="10:11" ht="12.75" x14ac:dyDescent="0.2">
      <c r="J715" s="22"/>
      <c r="K715" s="22"/>
    </row>
    <row r="716" spans="10:11" ht="12.75" x14ac:dyDescent="0.2">
      <c r="J716" s="22"/>
      <c r="K716" s="22"/>
    </row>
    <row r="717" spans="10:11" ht="12.75" x14ac:dyDescent="0.2">
      <c r="J717" s="22"/>
      <c r="K717" s="22"/>
    </row>
    <row r="718" spans="10:11" ht="12.75" x14ac:dyDescent="0.2">
      <c r="J718" s="22"/>
      <c r="K718" s="22"/>
    </row>
    <row r="719" spans="10:11" ht="12.75" x14ac:dyDescent="0.2">
      <c r="J719" s="22"/>
      <c r="K719" s="22"/>
    </row>
    <row r="720" spans="10:11" ht="12.75" x14ac:dyDescent="0.2">
      <c r="J720" s="22"/>
      <c r="K720" s="22"/>
    </row>
    <row r="721" spans="10:11" ht="12.75" x14ac:dyDescent="0.2">
      <c r="J721" s="22"/>
      <c r="K721" s="22"/>
    </row>
    <row r="722" spans="10:11" ht="12.75" x14ac:dyDescent="0.2">
      <c r="J722" s="22"/>
      <c r="K722" s="22"/>
    </row>
    <row r="723" spans="10:11" ht="12.75" x14ac:dyDescent="0.2">
      <c r="J723" s="22"/>
      <c r="K723" s="22"/>
    </row>
    <row r="724" spans="10:11" ht="12.75" x14ac:dyDescent="0.2">
      <c r="J724" s="22"/>
      <c r="K724" s="22"/>
    </row>
    <row r="725" spans="10:11" ht="12.75" x14ac:dyDescent="0.2">
      <c r="J725" s="22"/>
      <c r="K725" s="22"/>
    </row>
    <row r="726" spans="10:11" ht="12.75" x14ac:dyDescent="0.2">
      <c r="J726" s="22"/>
      <c r="K726" s="22"/>
    </row>
    <row r="727" spans="10:11" ht="12.75" x14ac:dyDescent="0.2">
      <c r="J727" s="22"/>
      <c r="K727" s="22"/>
    </row>
    <row r="728" spans="10:11" ht="12.75" x14ac:dyDescent="0.2">
      <c r="J728" s="22"/>
      <c r="K728" s="22"/>
    </row>
    <row r="729" spans="10:11" ht="12.75" x14ac:dyDescent="0.2">
      <c r="J729" s="22"/>
      <c r="K729" s="22"/>
    </row>
    <row r="730" spans="10:11" ht="12.75" x14ac:dyDescent="0.2">
      <c r="J730" s="22"/>
      <c r="K730" s="22"/>
    </row>
    <row r="731" spans="10:11" ht="12.75" x14ac:dyDescent="0.2">
      <c r="J731" s="22"/>
      <c r="K731" s="22"/>
    </row>
    <row r="732" spans="10:11" ht="12.75" x14ac:dyDescent="0.2">
      <c r="J732" s="22"/>
      <c r="K732" s="22"/>
    </row>
    <row r="733" spans="10:11" ht="12.75" x14ac:dyDescent="0.2">
      <c r="J733" s="22"/>
      <c r="K733" s="22"/>
    </row>
    <row r="734" spans="10:11" ht="12.75" x14ac:dyDescent="0.2">
      <c r="J734" s="22"/>
      <c r="K734" s="22"/>
    </row>
    <row r="735" spans="10:11" ht="12.75" x14ac:dyDescent="0.2">
      <c r="J735" s="22"/>
      <c r="K735" s="22"/>
    </row>
    <row r="736" spans="10:11" ht="12.75" x14ac:dyDescent="0.2">
      <c r="J736" s="22"/>
      <c r="K736" s="22"/>
    </row>
    <row r="737" spans="10:11" ht="12.75" x14ac:dyDescent="0.2">
      <c r="J737" s="22"/>
      <c r="K737" s="22"/>
    </row>
    <row r="738" spans="10:11" ht="12.75" x14ac:dyDescent="0.2">
      <c r="J738" s="22"/>
      <c r="K738" s="22"/>
    </row>
    <row r="739" spans="10:11" ht="12.75" x14ac:dyDescent="0.2">
      <c r="J739" s="22"/>
      <c r="K739" s="22"/>
    </row>
    <row r="740" spans="10:11" ht="12.75" x14ac:dyDescent="0.2">
      <c r="J740" s="22"/>
      <c r="K740" s="22"/>
    </row>
    <row r="741" spans="10:11" ht="12.75" x14ac:dyDescent="0.2">
      <c r="J741" s="22"/>
      <c r="K741" s="22"/>
    </row>
    <row r="742" spans="10:11" ht="12.75" x14ac:dyDescent="0.2">
      <c r="J742" s="22"/>
      <c r="K742" s="22"/>
    </row>
    <row r="743" spans="10:11" ht="12.75" x14ac:dyDescent="0.2">
      <c r="J743" s="22"/>
      <c r="K743" s="22"/>
    </row>
    <row r="744" spans="10:11" ht="12.75" x14ac:dyDescent="0.2">
      <c r="J744" s="22"/>
      <c r="K744" s="22"/>
    </row>
    <row r="745" spans="10:11" ht="12.75" x14ac:dyDescent="0.2">
      <c r="J745" s="22"/>
      <c r="K745" s="22"/>
    </row>
    <row r="746" spans="10:11" ht="12.75" x14ac:dyDescent="0.2">
      <c r="J746" s="22"/>
      <c r="K746" s="22"/>
    </row>
    <row r="747" spans="10:11" ht="12.75" x14ac:dyDescent="0.2">
      <c r="J747" s="22"/>
      <c r="K747" s="22"/>
    </row>
    <row r="748" spans="10:11" ht="12.75" x14ac:dyDescent="0.2">
      <c r="J748" s="22"/>
      <c r="K748" s="22"/>
    </row>
    <row r="749" spans="10:11" ht="12.75" x14ac:dyDescent="0.2">
      <c r="J749" s="22"/>
      <c r="K749" s="22"/>
    </row>
    <row r="750" spans="10:11" ht="12.75" x14ac:dyDescent="0.2">
      <c r="J750" s="22"/>
      <c r="K750" s="22"/>
    </row>
    <row r="751" spans="10:11" ht="12.75" x14ac:dyDescent="0.2">
      <c r="J751" s="22"/>
      <c r="K751" s="22"/>
    </row>
    <row r="752" spans="10:11" ht="12.75" x14ac:dyDescent="0.2">
      <c r="J752" s="22"/>
      <c r="K752" s="22"/>
    </row>
    <row r="753" spans="10:11" ht="12.75" x14ac:dyDescent="0.2">
      <c r="J753" s="22"/>
      <c r="K753" s="22"/>
    </row>
    <row r="754" spans="10:11" ht="12.75" x14ac:dyDescent="0.2">
      <c r="J754" s="22"/>
      <c r="K754" s="22"/>
    </row>
    <row r="755" spans="10:11" ht="12.75" x14ac:dyDescent="0.2">
      <c r="J755" s="22"/>
      <c r="K755" s="22"/>
    </row>
    <row r="756" spans="10:11" ht="12.75" x14ac:dyDescent="0.2">
      <c r="J756" s="22"/>
      <c r="K756" s="22"/>
    </row>
    <row r="757" spans="10:11" ht="12.75" x14ac:dyDescent="0.2">
      <c r="J757" s="22"/>
      <c r="K757" s="22"/>
    </row>
    <row r="758" spans="10:11" ht="12.75" x14ac:dyDescent="0.2">
      <c r="J758" s="22"/>
      <c r="K758" s="22"/>
    </row>
    <row r="759" spans="10:11" ht="12.75" x14ac:dyDescent="0.2">
      <c r="J759" s="22"/>
      <c r="K759" s="22"/>
    </row>
    <row r="760" spans="10:11" ht="12.75" x14ac:dyDescent="0.2">
      <c r="J760" s="22"/>
      <c r="K760" s="22"/>
    </row>
    <row r="761" spans="10:11" ht="12.75" x14ac:dyDescent="0.2">
      <c r="J761" s="22"/>
      <c r="K761" s="22"/>
    </row>
    <row r="762" spans="10:11" ht="12.75" x14ac:dyDescent="0.2">
      <c r="J762" s="22"/>
      <c r="K762" s="22"/>
    </row>
    <row r="763" spans="10:11" ht="12.75" x14ac:dyDescent="0.2">
      <c r="J763" s="22"/>
      <c r="K763" s="22"/>
    </row>
    <row r="764" spans="10:11" ht="12.75" x14ac:dyDescent="0.2">
      <c r="J764" s="22"/>
      <c r="K764" s="22"/>
    </row>
    <row r="765" spans="10:11" ht="12.75" x14ac:dyDescent="0.2">
      <c r="J765" s="22"/>
      <c r="K765" s="22"/>
    </row>
    <row r="766" spans="10:11" ht="12.75" x14ac:dyDescent="0.2">
      <c r="J766" s="22"/>
      <c r="K766" s="22"/>
    </row>
    <row r="767" spans="10:11" ht="12.75" x14ac:dyDescent="0.2">
      <c r="J767" s="22"/>
      <c r="K767" s="22"/>
    </row>
    <row r="768" spans="10:11" ht="12.75" x14ac:dyDescent="0.2">
      <c r="J768" s="22"/>
      <c r="K768" s="22"/>
    </row>
    <row r="769" spans="10:11" ht="12.75" x14ac:dyDescent="0.2">
      <c r="J769" s="22"/>
      <c r="K769" s="22"/>
    </row>
    <row r="770" spans="10:11" ht="12.75" x14ac:dyDescent="0.2">
      <c r="J770" s="22"/>
      <c r="K770" s="22"/>
    </row>
    <row r="771" spans="10:11" ht="12.75" x14ac:dyDescent="0.2">
      <c r="J771" s="22"/>
      <c r="K771" s="22"/>
    </row>
    <row r="772" spans="10:11" ht="12.75" x14ac:dyDescent="0.2">
      <c r="J772" s="22"/>
      <c r="K772" s="22"/>
    </row>
    <row r="773" spans="10:11" ht="12.75" x14ac:dyDescent="0.2">
      <c r="J773" s="22"/>
      <c r="K773" s="22"/>
    </row>
    <row r="774" spans="10:11" ht="12.75" x14ac:dyDescent="0.2">
      <c r="J774" s="22"/>
      <c r="K774" s="22"/>
    </row>
    <row r="775" spans="10:11" ht="12.75" x14ac:dyDescent="0.2">
      <c r="J775" s="22"/>
      <c r="K775" s="22"/>
    </row>
    <row r="776" spans="10:11" ht="12.75" x14ac:dyDescent="0.2">
      <c r="J776" s="22"/>
      <c r="K776" s="22"/>
    </row>
    <row r="777" spans="10:11" ht="12.75" x14ac:dyDescent="0.2">
      <c r="J777" s="22"/>
      <c r="K777" s="22"/>
    </row>
    <row r="778" spans="10:11" ht="12.75" x14ac:dyDescent="0.2">
      <c r="J778" s="22"/>
      <c r="K778" s="22"/>
    </row>
    <row r="779" spans="10:11" ht="12.75" x14ac:dyDescent="0.2">
      <c r="J779" s="22"/>
      <c r="K779" s="22"/>
    </row>
    <row r="780" spans="10:11" ht="12.75" x14ac:dyDescent="0.2">
      <c r="J780" s="22"/>
      <c r="K780" s="22"/>
    </row>
    <row r="781" spans="10:11" ht="12.75" x14ac:dyDescent="0.2">
      <c r="J781" s="22"/>
      <c r="K781" s="22"/>
    </row>
    <row r="782" spans="10:11" ht="12.75" x14ac:dyDescent="0.2">
      <c r="J782" s="22"/>
      <c r="K782" s="22"/>
    </row>
    <row r="783" spans="10:11" ht="12.75" x14ac:dyDescent="0.2">
      <c r="J783" s="22"/>
      <c r="K783" s="22"/>
    </row>
    <row r="784" spans="10:11" ht="12.75" x14ac:dyDescent="0.2">
      <c r="J784" s="22"/>
      <c r="K784" s="22"/>
    </row>
    <row r="785" spans="10:11" ht="12.75" x14ac:dyDescent="0.2">
      <c r="J785" s="22"/>
      <c r="K785" s="22"/>
    </row>
    <row r="786" spans="10:11" ht="12.75" x14ac:dyDescent="0.2">
      <c r="J786" s="22"/>
      <c r="K786" s="22"/>
    </row>
    <row r="787" spans="10:11" ht="12.75" x14ac:dyDescent="0.2">
      <c r="J787" s="22"/>
      <c r="K787" s="22"/>
    </row>
    <row r="788" spans="10:11" ht="12.75" x14ac:dyDescent="0.2">
      <c r="J788" s="22"/>
      <c r="K788" s="22"/>
    </row>
    <row r="789" spans="10:11" ht="12.75" x14ac:dyDescent="0.2">
      <c r="J789" s="22"/>
      <c r="K789" s="22"/>
    </row>
    <row r="790" spans="10:11" ht="12.75" x14ac:dyDescent="0.2">
      <c r="J790" s="22"/>
      <c r="K790" s="22"/>
    </row>
    <row r="791" spans="10:11" ht="12.75" x14ac:dyDescent="0.2">
      <c r="J791" s="22"/>
      <c r="K791" s="22"/>
    </row>
    <row r="792" spans="10:11" ht="12.75" x14ac:dyDescent="0.2">
      <c r="J792" s="22"/>
      <c r="K792" s="22"/>
    </row>
    <row r="793" spans="10:11" ht="12.75" x14ac:dyDescent="0.2">
      <c r="J793" s="22"/>
      <c r="K793" s="22"/>
    </row>
    <row r="794" spans="10:11" ht="12.75" x14ac:dyDescent="0.2">
      <c r="J794" s="22"/>
      <c r="K794" s="22"/>
    </row>
    <row r="795" spans="10:11" ht="12.75" x14ac:dyDescent="0.2">
      <c r="J795" s="22"/>
      <c r="K795" s="22"/>
    </row>
    <row r="796" spans="10:11" ht="12.75" x14ac:dyDescent="0.2">
      <c r="J796" s="22"/>
      <c r="K796" s="22"/>
    </row>
    <row r="797" spans="10:11" ht="12.75" x14ac:dyDescent="0.2">
      <c r="J797" s="22"/>
      <c r="K797" s="22"/>
    </row>
    <row r="798" spans="10:11" ht="12.75" x14ac:dyDescent="0.2">
      <c r="J798" s="22"/>
      <c r="K798" s="22"/>
    </row>
    <row r="799" spans="10:11" ht="12.75" x14ac:dyDescent="0.2">
      <c r="J799" s="22"/>
      <c r="K799" s="22"/>
    </row>
    <row r="800" spans="10:11" ht="12.75" x14ac:dyDescent="0.2">
      <c r="J800" s="22"/>
      <c r="K800" s="22"/>
    </row>
    <row r="801" spans="10:11" ht="12.75" x14ac:dyDescent="0.2">
      <c r="J801" s="22"/>
      <c r="K801" s="22"/>
    </row>
    <row r="802" spans="10:11" ht="12.75" x14ac:dyDescent="0.2">
      <c r="J802" s="22"/>
      <c r="K802" s="22"/>
    </row>
    <row r="803" spans="10:11" ht="12.75" x14ac:dyDescent="0.2">
      <c r="J803" s="22"/>
      <c r="K803" s="22"/>
    </row>
    <row r="804" spans="10:11" ht="12.75" x14ac:dyDescent="0.2">
      <c r="J804" s="22"/>
      <c r="K804" s="22"/>
    </row>
    <row r="805" spans="10:11" ht="12.75" x14ac:dyDescent="0.2">
      <c r="J805" s="22"/>
      <c r="K805" s="22"/>
    </row>
    <row r="806" spans="10:11" ht="12.75" x14ac:dyDescent="0.2">
      <c r="J806" s="22"/>
      <c r="K806" s="22"/>
    </row>
    <row r="807" spans="10:11" ht="12.75" x14ac:dyDescent="0.2">
      <c r="J807" s="22"/>
      <c r="K807" s="22"/>
    </row>
    <row r="808" spans="10:11" ht="12.75" x14ac:dyDescent="0.2">
      <c r="J808" s="22"/>
      <c r="K808" s="22"/>
    </row>
    <row r="809" spans="10:11" ht="12.75" x14ac:dyDescent="0.2">
      <c r="J809" s="22"/>
      <c r="K809" s="22"/>
    </row>
    <row r="810" spans="10:11" ht="12.75" x14ac:dyDescent="0.2">
      <c r="J810" s="22"/>
      <c r="K810" s="22"/>
    </row>
    <row r="811" spans="10:11" ht="12.75" x14ac:dyDescent="0.2">
      <c r="J811" s="22"/>
      <c r="K811" s="22"/>
    </row>
    <row r="812" spans="10:11" ht="12.75" x14ac:dyDescent="0.2">
      <c r="J812" s="22"/>
      <c r="K812" s="22"/>
    </row>
    <row r="813" spans="10:11" ht="12.75" x14ac:dyDescent="0.2">
      <c r="J813" s="22"/>
      <c r="K813" s="22"/>
    </row>
    <row r="814" spans="10:11" ht="12.75" x14ac:dyDescent="0.2">
      <c r="J814" s="22"/>
      <c r="K814" s="22"/>
    </row>
    <row r="815" spans="10:11" ht="12.75" x14ac:dyDescent="0.2">
      <c r="J815" s="22"/>
      <c r="K815" s="22"/>
    </row>
    <row r="816" spans="10:11" ht="12.75" x14ac:dyDescent="0.2">
      <c r="J816" s="22"/>
      <c r="K816" s="22"/>
    </row>
    <row r="817" spans="10:11" ht="12.75" x14ac:dyDescent="0.2">
      <c r="J817" s="22"/>
      <c r="K817" s="22"/>
    </row>
    <row r="818" spans="10:11" ht="12.75" x14ac:dyDescent="0.2">
      <c r="J818" s="22"/>
      <c r="K818" s="22"/>
    </row>
    <row r="819" spans="10:11" ht="12.75" x14ac:dyDescent="0.2">
      <c r="J819" s="22"/>
      <c r="K819" s="22"/>
    </row>
    <row r="820" spans="10:11" ht="12.75" x14ac:dyDescent="0.2">
      <c r="J820" s="22"/>
      <c r="K820" s="22"/>
    </row>
    <row r="821" spans="10:11" ht="12.75" x14ac:dyDescent="0.2">
      <c r="J821" s="22"/>
      <c r="K821" s="22"/>
    </row>
    <row r="822" spans="10:11" ht="12.75" x14ac:dyDescent="0.2">
      <c r="J822" s="22"/>
      <c r="K822" s="22"/>
    </row>
    <row r="823" spans="10:11" ht="12.75" x14ac:dyDescent="0.2">
      <c r="J823" s="22"/>
      <c r="K823" s="22"/>
    </row>
    <row r="824" spans="10:11" ht="12.75" x14ac:dyDescent="0.2">
      <c r="J824" s="22"/>
      <c r="K824" s="22"/>
    </row>
    <row r="825" spans="10:11" ht="12.75" x14ac:dyDescent="0.2">
      <c r="J825" s="22"/>
      <c r="K825" s="22"/>
    </row>
    <row r="826" spans="10:11" ht="12.75" x14ac:dyDescent="0.2">
      <c r="J826" s="22"/>
      <c r="K826" s="22"/>
    </row>
    <row r="827" spans="10:11" ht="12.75" x14ac:dyDescent="0.2">
      <c r="J827" s="22"/>
      <c r="K827" s="22"/>
    </row>
    <row r="828" spans="10:11" ht="12.75" x14ac:dyDescent="0.2">
      <c r="J828" s="22"/>
      <c r="K828" s="22"/>
    </row>
    <row r="829" spans="10:11" ht="12.75" x14ac:dyDescent="0.2">
      <c r="J829" s="22"/>
      <c r="K829" s="22"/>
    </row>
    <row r="830" spans="10:11" ht="12.75" x14ac:dyDescent="0.2">
      <c r="J830" s="22"/>
      <c r="K830" s="22"/>
    </row>
    <row r="831" spans="10:11" ht="12.75" x14ac:dyDescent="0.2">
      <c r="J831" s="22"/>
      <c r="K831" s="22"/>
    </row>
    <row r="832" spans="10:11" ht="12.75" x14ac:dyDescent="0.2">
      <c r="J832" s="22"/>
      <c r="K832" s="22"/>
    </row>
    <row r="833" spans="10:11" ht="12.75" x14ac:dyDescent="0.2">
      <c r="J833" s="22"/>
      <c r="K833" s="22"/>
    </row>
    <row r="834" spans="10:11" ht="12.75" x14ac:dyDescent="0.2">
      <c r="J834" s="22"/>
      <c r="K834" s="22"/>
    </row>
    <row r="835" spans="10:11" ht="12.75" x14ac:dyDescent="0.2">
      <c r="J835" s="22"/>
      <c r="K835" s="22"/>
    </row>
    <row r="836" spans="10:11" ht="12.75" x14ac:dyDescent="0.2">
      <c r="J836" s="22"/>
      <c r="K836" s="22"/>
    </row>
    <row r="837" spans="10:11" ht="12.75" x14ac:dyDescent="0.2">
      <c r="J837" s="22"/>
      <c r="K837" s="22"/>
    </row>
    <row r="838" spans="10:11" ht="12.75" x14ac:dyDescent="0.2">
      <c r="J838" s="22"/>
      <c r="K838" s="22"/>
    </row>
    <row r="839" spans="10:11" ht="12.75" x14ac:dyDescent="0.2">
      <c r="J839" s="22"/>
      <c r="K839" s="22"/>
    </row>
    <row r="840" spans="10:11" ht="12.75" x14ac:dyDescent="0.2">
      <c r="J840" s="22"/>
      <c r="K840" s="22"/>
    </row>
    <row r="841" spans="10:11" ht="12.75" x14ac:dyDescent="0.2">
      <c r="J841" s="22"/>
      <c r="K841" s="22"/>
    </row>
    <row r="842" spans="10:11" ht="12.75" x14ac:dyDescent="0.2">
      <c r="J842" s="22"/>
      <c r="K842" s="22"/>
    </row>
    <row r="843" spans="10:11" ht="12.75" x14ac:dyDescent="0.2">
      <c r="J843" s="22"/>
      <c r="K843" s="22"/>
    </row>
    <row r="844" spans="10:11" ht="12.75" x14ac:dyDescent="0.2">
      <c r="J844" s="22"/>
      <c r="K844" s="22"/>
    </row>
    <row r="845" spans="10:11" ht="12.75" x14ac:dyDescent="0.2">
      <c r="J845" s="22"/>
      <c r="K845" s="22"/>
    </row>
    <row r="846" spans="10:11" ht="12.75" x14ac:dyDescent="0.2">
      <c r="J846" s="22"/>
      <c r="K846" s="22"/>
    </row>
    <row r="847" spans="10:11" ht="12.75" x14ac:dyDescent="0.2">
      <c r="J847" s="22"/>
      <c r="K847" s="22"/>
    </row>
    <row r="848" spans="10:11" ht="12.75" x14ac:dyDescent="0.2">
      <c r="J848" s="22"/>
      <c r="K848" s="22"/>
    </row>
    <row r="849" spans="10:11" ht="12.75" x14ac:dyDescent="0.2">
      <c r="J849" s="22"/>
      <c r="K849" s="22"/>
    </row>
    <row r="850" spans="10:11" ht="12.75" x14ac:dyDescent="0.2">
      <c r="J850" s="22"/>
      <c r="K850" s="22"/>
    </row>
    <row r="851" spans="10:11" ht="12.75" x14ac:dyDescent="0.2">
      <c r="J851" s="22"/>
      <c r="K851" s="22"/>
    </row>
    <row r="852" spans="10:11" ht="12.75" x14ac:dyDescent="0.2">
      <c r="J852" s="22"/>
      <c r="K852" s="22"/>
    </row>
    <row r="853" spans="10:11" ht="12.75" x14ac:dyDescent="0.2">
      <c r="J853" s="22"/>
      <c r="K853" s="22"/>
    </row>
    <row r="854" spans="10:11" ht="12.75" x14ac:dyDescent="0.2">
      <c r="J854" s="22"/>
      <c r="K854" s="22"/>
    </row>
    <row r="855" spans="10:11" ht="12.75" x14ac:dyDescent="0.2">
      <c r="J855" s="22"/>
      <c r="K855" s="22"/>
    </row>
    <row r="856" spans="10:11" ht="12.75" x14ac:dyDescent="0.2">
      <c r="J856" s="22"/>
      <c r="K856" s="22"/>
    </row>
    <row r="857" spans="10:11" ht="12.75" x14ac:dyDescent="0.2">
      <c r="J857" s="22"/>
      <c r="K857" s="22"/>
    </row>
    <row r="858" spans="10:11" ht="12.75" x14ac:dyDescent="0.2">
      <c r="J858" s="22"/>
      <c r="K858" s="22"/>
    </row>
    <row r="859" spans="10:11" ht="12.75" x14ac:dyDescent="0.2">
      <c r="J859" s="22"/>
      <c r="K859" s="22"/>
    </row>
    <row r="860" spans="10:11" ht="12.75" x14ac:dyDescent="0.2">
      <c r="J860" s="22"/>
      <c r="K860" s="22"/>
    </row>
    <row r="861" spans="10:11" ht="12.75" x14ac:dyDescent="0.2">
      <c r="J861" s="22"/>
      <c r="K861" s="22"/>
    </row>
    <row r="862" spans="10:11" ht="12.75" x14ac:dyDescent="0.2">
      <c r="J862" s="22"/>
      <c r="K862" s="22"/>
    </row>
    <row r="863" spans="10:11" ht="12.75" x14ac:dyDescent="0.2">
      <c r="J863" s="22"/>
      <c r="K863" s="22"/>
    </row>
    <row r="864" spans="10:11" ht="12.75" x14ac:dyDescent="0.2">
      <c r="J864" s="22"/>
      <c r="K864" s="22"/>
    </row>
    <row r="865" spans="10:11" ht="12.75" x14ac:dyDescent="0.2">
      <c r="J865" s="22"/>
      <c r="K865" s="22"/>
    </row>
    <row r="866" spans="10:11" ht="12.75" x14ac:dyDescent="0.2">
      <c r="J866" s="22"/>
      <c r="K866" s="22"/>
    </row>
    <row r="867" spans="10:11" ht="12.75" x14ac:dyDescent="0.2">
      <c r="J867" s="22"/>
      <c r="K867" s="22"/>
    </row>
    <row r="868" spans="10:11" ht="12.75" x14ac:dyDescent="0.2">
      <c r="J868" s="22"/>
      <c r="K868" s="22"/>
    </row>
    <row r="869" spans="10:11" ht="12.75" x14ac:dyDescent="0.2">
      <c r="J869" s="22"/>
      <c r="K869" s="22"/>
    </row>
    <row r="870" spans="10:11" ht="12.75" x14ac:dyDescent="0.2">
      <c r="J870" s="22"/>
      <c r="K870" s="22"/>
    </row>
    <row r="871" spans="10:11" ht="12.75" x14ac:dyDescent="0.2">
      <c r="J871" s="22"/>
      <c r="K871" s="22"/>
    </row>
    <row r="872" spans="10:11" ht="12.75" x14ac:dyDescent="0.2">
      <c r="J872" s="22"/>
      <c r="K872" s="22"/>
    </row>
    <row r="873" spans="10:11" ht="12.75" x14ac:dyDescent="0.2">
      <c r="J873" s="22"/>
      <c r="K873" s="22"/>
    </row>
    <row r="874" spans="10:11" ht="12.75" x14ac:dyDescent="0.2">
      <c r="J874" s="22"/>
      <c r="K874" s="22"/>
    </row>
    <row r="875" spans="10:11" ht="12.75" x14ac:dyDescent="0.2">
      <c r="J875" s="22"/>
      <c r="K875" s="22"/>
    </row>
    <row r="876" spans="10:11" ht="12.75" x14ac:dyDescent="0.2">
      <c r="J876" s="22"/>
      <c r="K876" s="22"/>
    </row>
    <row r="877" spans="10:11" ht="12.75" x14ac:dyDescent="0.2">
      <c r="J877" s="22"/>
      <c r="K877" s="22"/>
    </row>
    <row r="878" spans="10:11" ht="12.75" x14ac:dyDescent="0.2">
      <c r="J878" s="22"/>
      <c r="K878" s="22"/>
    </row>
    <row r="879" spans="10:11" ht="12.75" x14ac:dyDescent="0.2">
      <c r="J879" s="22"/>
      <c r="K879" s="22"/>
    </row>
    <row r="880" spans="10:11" ht="12.75" x14ac:dyDescent="0.2">
      <c r="J880" s="22"/>
      <c r="K880" s="22"/>
    </row>
    <row r="881" spans="10:11" ht="12.75" x14ac:dyDescent="0.2">
      <c r="J881" s="22"/>
      <c r="K881" s="22"/>
    </row>
    <row r="882" spans="10:11" ht="12.75" x14ac:dyDescent="0.2">
      <c r="J882" s="22"/>
      <c r="K882" s="22"/>
    </row>
    <row r="883" spans="10:11" ht="12.75" x14ac:dyDescent="0.2">
      <c r="J883" s="22"/>
      <c r="K883" s="22"/>
    </row>
    <row r="884" spans="10:11" ht="12.75" x14ac:dyDescent="0.2">
      <c r="J884" s="22"/>
      <c r="K884" s="22"/>
    </row>
    <row r="885" spans="10:11" ht="12.75" x14ac:dyDescent="0.2">
      <c r="J885" s="22"/>
      <c r="K885" s="22"/>
    </row>
    <row r="886" spans="10:11" ht="12.75" x14ac:dyDescent="0.2">
      <c r="J886" s="22"/>
      <c r="K886" s="22"/>
    </row>
    <row r="887" spans="10:11" ht="12.75" x14ac:dyDescent="0.2">
      <c r="J887" s="22"/>
      <c r="K887" s="22"/>
    </row>
    <row r="888" spans="10:11" ht="12.75" x14ac:dyDescent="0.2">
      <c r="J888" s="22"/>
      <c r="K888" s="22"/>
    </row>
    <row r="889" spans="10:11" ht="12.75" x14ac:dyDescent="0.2">
      <c r="J889" s="22"/>
      <c r="K889" s="22"/>
    </row>
    <row r="890" spans="10:11" ht="12.75" x14ac:dyDescent="0.2">
      <c r="J890" s="22"/>
      <c r="K890" s="22"/>
    </row>
    <row r="891" spans="10:11" ht="12.75" x14ac:dyDescent="0.2">
      <c r="J891" s="22"/>
      <c r="K891" s="22"/>
    </row>
    <row r="892" spans="10:11" ht="12.75" x14ac:dyDescent="0.2">
      <c r="J892" s="22"/>
      <c r="K892" s="22"/>
    </row>
    <row r="893" spans="10:11" ht="12.75" x14ac:dyDescent="0.2">
      <c r="J893" s="22"/>
      <c r="K893" s="22"/>
    </row>
    <row r="894" spans="10:11" ht="12.75" x14ac:dyDescent="0.2">
      <c r="J894" s="22"/>
      <c r="K894" s="22"/>
    </row>
    <row r="895" spans="10:11" ht="12.75" x14ac:dyDescent="0.2">
      <c r="J895" s="22"/>
      <c r="K895" s="22"/>
    </row>
    <row r="896" spans="10:11" ht="12.75" x14ac:dyDescent="0.2">
      <c r="J896" s="22"/>
      <c r="K896" s="22"/>
    </row>
    <row r="897" spans="10:11" ht="12.75" x14ac:dyDescent="0.2">
      <c r="J897" s="22"/>
      <c r="K897" s="22"/>
    </row>
    <row r="898" spans="10:11" ht="12.75" x14ac:dyDescent="0.2">
      <c r="J898" s="22"/>
      <c r="K898" s="22"/>
    </row>
    <row r="899" spans="10:11" ht="12.75" x14ac:dyDescent="0.2">
      <c r="J899" s="22"/>
      <c r="K899" s="22"/>
    </row>
    <row r="900" spans="10:11" ht="12.75" x14ac:dyDescent="0.2">
      <c r="J900" s="22"/>
      <c r="K900" s="22"/>
    </row>
    <row r="901" spans="10:11" ht="12.75" x14ac:dyDescent="0.2">
      <c r="J901" s="22"/>
      <c r="K901" s="22"/>
    </row>
    <row r="902" spans="10:11" ht="12.75" x14ac:dyDescent="0.2">
      <c r="J902" s="22"/>
      <c r="K902" s="22"/>
    </row>
    <row r="903" spans="10:11" ht="12.75" x14ac:dyDescent="0.2">
      <c r="J903" s="22"/>
      <c r="K903" s="22"/>
    </row>
    <row r="904" spans="10:11" ht="12.75" x14ac:dyDescent="0.2">
      <c r="J904" s="22"/>
      <c r="K904" s="22"/>
    </row>
    <row r="905" spans="10:11" ht="12.75" x14ac:dyDescent="0.2">
      <c r="J905" s="22"/>
      <c r="K905" s="22"/>
    </row>
    <row r="906" spans="10:11" ht="12.75" x14ac:dyDescent="0.2">
      <c r="J906" s="22"/>
      <c r="K906" s="22"/>
    </row>
    <row r="907" spans="10:11" ht="12.75" x14ac:dyDescent="0.2">
      <c r="J907" s="22"/>
      <c r="K907" s="22"/>
    </row>
    <row r="908" spans="10:11" ht="12.75" x14ac:dyDescent="0.2">
      <c r="J908" s="22"/>
      <c r="K908" s="22"/>
    </row>
    <row r="909" spans="10:11" ht="12.75" x14ac:dyDescent="0.2">
      <c r="J909" s="22"/>
      <c r="K909" s="22"/>
    </row>
    <row r="910" spans="10:11" ht="12.75" x14ac:dyDescent="0.2">
      <c r="J910" s="22"/>
      <c r="K910" s="22"/>
    </row>
    <row r="911" spans="10:11" ht="12.75" x14ac:dyDescent="0.2">
      <c r="J911" s="22"/>
      <c r="K911" s="22"/>
    </row>
    <row r="912" spans="10:11" ht="12.75" x14ac:dyDescent="0.2">
      <c r="J912" s="22"/>
      <c r="K912" s="22"/>
    </row>
    <row r="913" spans="10:11" ht="12.75" x14ac:dyDescent="0.2">
      <c r="J913" s="22"/>
      <c r="K913" s="22"/>
    </row>
    <row r="914" spans="10:11" ht="12.75" x14ac:dyDescent="0.2">
      <c r="J914" s="22"/>
      <c r="K914" s="22"/>
    </row>
    <row r="915" spans="10:11" ht="12.75" x14ac:dyDescent="0.2">
      <c r="J915" s="22"/>
      <c r="K915" s="22"/>
    </row>
    <row r="916" spans="10:11" ht="12.75" x14ac:dyDescent="0.2">
      <c r="J916" s="22"/>
      <c r="K916" s="22"/>
    </row>
    <row r="917" spans="10:11" ht="12.75" x14ac:dyDescent="0.2">
      <c r="J917" s="22"/>
      <c r="K917" s="22"/>
    </row>
    <row r="918" spans="10:11" ht="12.75" x14ac:dyDescent="0.2">
      <c r="J918" s="22"/>
      <c r="K918" s="22"/>
    </row>
    <row r="919" spans="10:11" ht="12.75" x14ac:dyDescent="0.2">
      <c r="J919" s="22"/>
      <c r="K919" s="22"/>
    </row>
    <row r="920" spans="10:11" ht="12.75" x14ac:dyDescent="0.2">
      <c r="J920" s="22"/>
      <c r="K920" s="22"/>
    </row>
    <row r="921" spans="10:11" ht="12.75" x14ac:dyDescent="0.2">
      <c r="J921" s="22"/>
      <c r="K921" s="22"/>
    </row>
    <row r="922" spans="10:11" ht="12.75" x14ac:dyDescent="0.2">
      <c r="J922" s="22"/>
      <c r="K922" s="22"/>
    </row>
    <row r="923" spans="10:11" ht="12.75" x14ac:dyDescent="0.2">
      <c r="J923" s="22"/>
      <c r="K923" s="22"/>
    </row>
    <row r="924" spans="10:11" ht="12.75" x14ac:dyDescent="0.2">
      <c r="J924" s="22"/>
      <c r="K924" s="22"/>
    </row>
    <row r="925" spans="10:11" ht="12.75" x14ac:dyDescent="0.2">
      <c r="J925" s="22"/>
      <c r="K925" s="22"/>
    </row>
    <row r="926" spans="10:11" ht="12.75" x14ac:dyDescent="0.2">
      <c r="J926" s="22"/>
      <c r="K926" s="22"/>
    </row>
    <row r="927" spans="10:11" ht="12.75" x14ac:dyDescent="0.2">
      <c r="J927" s="22"/>
      <c r="K927" s="22"/>
    </row>
    <row r="928" spans="10:11" ht="12.75" x14ac:dyDescent="0.2">
      <c r="J928" s="22"/>
      <c r="K928" s="22"/>
    </row>
    <row r="929" spans="10:11" ht="12.75" x14ac:dyDescent="0.2">
      <c r="J929" s="22"/>
      <c r="K929" s="22"/>
    </row>
    <row r="930" spans="10:11" ht="12.75" x14ac:dyDescent="0.2">
      <c r="J930" s="22"/>
      <c r="K930" s="22"/>
    </row>
    <row r="931" spans="10:11" ht="12.75" x14ac:dyDescent="0.2">
      <c r="J931" s="22"/>
      <c r="K931" s="22"/>
    </row>
    <row r="932" spans="10:11" ht="12.75" x14ac:dyDescent="0.2">
      <c r="J932" s="22"/>
      <c r="K932" s="22"/>
    </row>
    <row r="933" spans="10:11" ht="12.75" x14ac:dyDescent="0.2">
      <c r="J933" s="22"/>
      <c r="K933" s="22"/>
    </row>
    <row r="934" spans="10:11" ht="12.75" x14ac:dyDescent="0.2">
      <c r="J934" s="22"/>
      <c r="K934" s="22"/>
    </row>
    <row r="935" spans="10:11" ht="12.75" x14ac:dyDescent="0.2">
      <c r="J935" s="22"/>
      <c r="K935" s="22"/>
    </row>
    <row r="936" spans="10:11" ht="12.75" x14ac:dyDescent="0.2">
      <c r="J936" s="22"/>
      <c r="K936" s="22"/>
    </row>
    <row r="937" spans="10:11" ht="12.75" x14ac:dyDescent="0.2">
      <c r="J937" s="22"/>
      <c r="K937" s="22"/>
    </row>
    <row r="938" spans="10:11" ht="12.75" x14ac:dyDescent="0.2">
      <c r="J938" s="22"/>
      <c r="K938" s="22"/>
    </row>
    <row r="939" spans="10:11" ht="12.75" x14ac:dyDescent="0.2">
      <c r="J939" s="22"/>
      <c r="K939" s="22"/>
    </row>
    <row r="940" spans="10:11" ht="12.75" x14ac:dyDescent="0.2">
      <c r="J940" s="22"/>
      <c r="K940" s="22"/>
    </row>
    <row r="941" spans="10:11" ht="12.75" x14ac:dyDescent="0.2">
      <c r="J941" s="22"/>
      <c r="K941" s="22"/>
    </row>
    <row r="942" spans="10:11" ht="12.75" x14ac:dyDescent="0.2">
      <c r="J942" s="22"/>
      <c r="K942" s="22"/>
    </row>
    <row r="943" spans="10:11" ht="12.75" x14ac:dyDescent="0.2">
      <c r="J943" s="22"/>
      <c r="K943" s="22"/>
    </row>
    <row r="944" spans="10:11" ht="12.75" x14ac:dyDescent="0.2">
      <c r="J944" s="22"/>
      <c r="K944" s="22"/>
    </row>
    <row r="945" spans="10:11" ht="12.75" x14ac:dyDescent="0.2">
      <c r="J945" s="22"/>
      <c r="K945" s="22"/>
    </row>
    <row r="946" spans="10:11" ht="12.75" x14ac:dyDescent="0.2">
      <c r="J946" s="22"/>
      <c r="K946" s="22"/>
    </row>
    <row r="947" spans="10:11" ht="12.75" x14ac:dyDescent="0.2">
      <c r="J947" s="22"/>
      <c r="K947" s="22"/>
    </row>
    <row r="948" spans="10:11" ht="12.75" x14ac:dyDescent="0.2">
      <c r="J948" s="22"/>
      <c r="K948" s="22"/>
    </row>
    <row r="949" spans="10:11" ht="12.75" x14ac:dyDescent="0.2">
      <c r="J949" s="22"/>
      <c r="K949" s="22"/>
    </row>
    <row r="950" spans="10:11" ht="12.75" x14ac:dyDescent="0.2">
      <c r="J950" s="22"/>
      <c r="K950" s="22"/>
    </row>
    <row r="951" spans="10:11" ht="12.75" x14ac:dyDescent="0.2">
      <c r="J951" s="22"/>
      <c r="K951" s="22"/>
    </row>
    <row r="952" spans="10:11" ht="12.75" x14ac:dyDescent="0.2">
      <c r="J952" s="22"/>
      <c r="K952" s="22"/>
    </row>
    <row r="953" spans="10:11" ht="12.75" x14ac:dyDescent="0.2">
      <c r="J953" s="22"/>
      <c r="K953" s="22"/>
    </row>
    <row r="954" spans="10:11" ht="12.75" x14ac:dyDescent="0.2">
      <c r="J954" s="22"/>
      <c r="K954" s="22"/>
    </row>
    <row r="955" spans="10:11" ht="12.75" x14ac:dyDescent="0.2">
      <c r="J955" s="22"/>
      <c r="K955" s="22"/>
    </row>
    <row r="956" spans="10:11" ht="12.75" x14ac:dyDescent="0.2">
      <c r="J956" s="22"/>
      <c r="K956" s="22"/>
    </row>
    <row r="957" spans="10:11" ht="12.75" x14ac:dyDescent="0.2">
      <c r="J957" s="22"/>
      <c r="K957" s="22"/>
    </row>
    <row r="958" spans="10:11" ht="12.75" x14ac:dyDescent="0.2">
      <c r="J958" s="22"/>
      <c r="K958" s="22"/>
    </row>
    <row r="959" spans="10:11" ht="12.75" x14ac:dyDescent="0.2">
      <c r="J959" s="22"/>
      <c r="K959" s="22"/>
    </row>
    <row r="960" spans="10:11" ht="12.75" x14ac:dyDescent="0.2">
      <c r="J960" s="22"/>
      <c r="K960" s="22"/>
    </row>
    <row r="961" spans="10:11" ht="12.75" x14ac:dyDescent="0.2">
      <c r="J961" s="22"/>
      <c r="K961" s="22"/>
    </row>
    <row r="962" spans="10:11" ht="12.75" x14ac:dyDescent="0.2">
      <c r="J962" s="22"/>
      <c r="K962" s="22"/>
    </row>
    <row r="963" spans="10:11" ht="12.75" x14ac:dyDescent="0.2">
      <c r="J963" s="22"/>
      <c r="K963" s="22"/>
    </row>
    <row r="964" spans="10:11" ht="12.75" x14ac:dyDescent="0.2">
      <c r="J964" s="22"/>
      <c r="K964" s="22"/>
    </row>
    <row r="965" spans="10:11" ht="12.75" x14ac:dyDescent="0.2">
      <c r="J965" s="22"/>
      <c r="K965" s="22"/>
    </row>
    <row r="966" spans="10:11" ht="12.75" x14ac:dyDescent="0.2">
      <c r="J966" s="22"/>
      <c r="K966" s="22"/>
    </row>
    <row r="967" spans="10:11" ht="12.75" x14ac:dyDescent="0.2">
      <c r="J967" s="22"/>
      <c r="K967" s="22"/>
    </row>
    <row r="968" spans="10:11" ht="12.75" x14ac:dyDescent="0.2">
      <c r="J968" s="22"/>
      <c r="K968" s="22"/>
    </row>
    <row r="969" spans="10:11" ht="12.75" x14ac:dyDescent="0.2">
      <c r="J969" s="22"/>
      <c r="K969" s="22"/>
    </row>
    <row r="970" spans="10:11" ht="12.75" x14ac:dyDescent="0.2">
      <c r="J970" s="22"/>
      <c r="K970" s="22"/>
    </row>
    <row r="971" spans="10:11" ht="12.75" x14ac:dyDescent="0.2">
      <c r="J971" s="22"/>
      <c r="K971" s="22"/>
    </row>
    <row r="972" spans="10:11" ht="12.75" x14ac:dyDescent="0.2">
      <c r="J972" s="22"/>
      <c r="K972" s="22"/>
    </row>
    <row r="973" spans="10:11" ht="12.75" x14ac:dyDescent="0.2">
      <c r="J973" s="22"/>
      <c r="K973" s="22"/>
    </row>
    <row r="974" spans="10:11" ht="12.75" x14ac:dyDescent="0.2">
      <c r="J974" s="22"/>
      <c r="K974" s="22"/>
    </row>
    <row r="975" spans="10:11" ht="12.75" x14ac:dyDescent="0.2">
      <c r="J975" s="22"/>
      <c r="K975" s="22"/>
    </row>
    <row r="976" spans="10:11" ht="12.75" x14ac:dyDescent="0.2">
      <c r="J976" s="22"/>
      <c r="K976" s="22"/>
    </row>
    <row r="977" spans="10:11" ht="12.75" x14ac:dyDescent="0.2">
      <c r="J977" s="22"/>
      <c r="K977" s="22"/>
    </row>
    <row r="978" spans="10:11" ht="12.75" x14ac:dyDescent="0.2">
      <c r="J978" s="22"/>
      <c r="K978" s="22"/>
    </row>
    <row r="979" spans="10:11" ht="12.75" x14ac:dyDescent="0.2">
      <c r="J979" s="22"/>
      <c r="K979" s="22"/>
    </row>
    <row r="980" spans="10:11" ht="12.75" x14ac:dyDescent="0.2">
      <c r="J980" s="22"/>
      <c r="K980" s="22"/>
    </row>
    <row r="981" spans="10:11" ht="12.75" x14ac:dyDescent="0.2">
      <c r="J981" s="22"/>
      <c r="K981" s="22"/>
    </row>
    <row r="982" spans="10:11" ht="12.75" x14ac:dyDescent="0.2">
      <c r="J982" s="22"/>
      <c r="K982" s="22"/>
    </row>
    <row r="983" spans="10:11" ht="12.75" x14ac:dyDescent="0.2">
      <c r="J983" s="22"/>
      <c r="K983" s="22"/>
    </row>
    <row r="984" spans="10:11" ht="12.75" x14ac:dyDescent="0.2">
      <c r="J984" s="22"/>
      <c r="K984" s="22"/>
    </row>
    <row r="985" spans="10:11" ht="12.75" x14ac:dyDescent="0.2">
      <c r="J985" s="22"/>
      <c r="K985" s="22"/>
    </row>
    <row r="986" spans="10:11" ht="12.75" x14ac:dyDescent="0.2">
      <c r="J986" s="22"/>
      <c r="K986" s="22"/>
    </row>
    <row r="987" spans="10:11" ht="12.75" x14ac:dyDescent="0.2">
      <c r="J987" s="22"/>
      <c r="K987" s="22"/>
    </row>
    <row r="988" spans="10:11" ht="12.75" x14ac:dyDescent="0.2">
      <c r="J988" s="22"/>
      <c r="K988" s="22"/>
    </row>
    <row r="989" spans="10:11" ht="12.75" x14ac:dyDescent="0.2">
      <c r="J989" s="22"/>
      <c r="K989" s="22"/>
    </row>
    <row r="990" spans="10:11" ht="12.75" x14ac:dyDescent="0.2">
      <c r="J990" s="22"/>
      <c r="K990" s="22"/>
    </row>
    <row r="991" spans="10:11" ht="12.75" x14ac:dyDescent="0.2">
      <c r="J991" s="22"/>
      <c r="K991" s="22"/>
    </row>
    <row r="992" spans="10:11" ht="12.75" x14ac:dyDescent="0.2">
      <c r="J992" s="22"/>
      <c r="K992" s="22"/>
    </row>
    <row r="993" spans="10:11" ht="12.75" x14ac:dyDescent="0.2">
      <c r="J993" s="22"/>
      <c r="K993" s="22"/>
    </row>
    <row r="994" spans="10:11" ht="12.75" x14ac:dyDescent="0.2">
      <c r="J994" s="22"/>
      <c r="K994" s="22"/>
    </row>
    <row r="995" spans="10:11" ht="12.75" x14ac:dyDescent="0.2">
      <c r="J995" s="22"/>
      <c r="K995" s="22"/>
    </row>
    <row r="996" spans="10:11" ht="12.75" x14ac:dyDescent="0.2">
      <c r="J996" s="22"/>
      <c r="K996" s="22"/>
    </row>
    <row r="997" spans="10:11" ht="12.75" x14ac:dyDescent="0.2">
      <c r="J997" s="22"/>
      <c r="K997" s="22"/>
    </row>
    <row r="998" spans="10:11" ht="12.75" x14ac:dyDescent="0.2">
      <c r="J998" s="22"/>
      <c r="K998" s="22"/>
    </row>
    <row r="999" spans="10:11" ht="12.75" x14ac:dyDescent="0.2">
      <c r="J999" s="22"/>
      <c r="K999" s="22"/>
    </row>
    <row r="1000" spans="10:11" ht="12.75" x14ac:dyDescent="0.2">
      <c r="J1000" s="22"/>
      <c r="K1000" s="22"/>
    </row>
    <row r="1001" spans="10:11" ht="15.75" customHeight="1" x14ac:dyDescent="0.2">
      <c r="J1001" s="22"/>
      <c r="K1001" s="22"/>
    </row>
    <row r="1002" spans="10:11" ht="15.75" customHeight="1" x14ac:dyDescent="0.2">
      <c r="J1002" s="22"/>
      <c r="K1002" s="22"/>
    </row>
  </sheetData>
  <conditionalFormatting sqref="A2:O29">
    <cfRule type="expression" dxfId="13" priority="2">
      <formula>ROW()=CELL("Fila")</formula>
    </cfRule>
  </conditionalFormatting>
  <dataValidations count="7">
    <dataValidation type="list" allowBlank="1" showErrorMessage="1" sqref="I28:I31 I35:I49" xr:uid="{00000000-0002-0000-0000-000000000000}">
      <formula1>"22/23,23/24,24/25,25/26,26/27"</formula1>
    </dataValidation>
    <dataValidation type="list" allowBlank="1" showErrorMessage="1" sqref="E2:E29" xr:uid="{00000000-0002-0000-0000-000001000000}">
      <formula1>"GK,LD/CAD,DFC,LI/CAI,CDM,CM,CAM,MD,MI,ED,Ei,DC,SD"</formula1>
    </dataValidation>
    <dataValidation type="list" allowBlank="1" showErrorMessage="1" sqref="M2:M29" xr:uid="{00000000-0002-0000-0000-000002000000}">
      <formula1>"1 año,2 años,3 años,4 años,5 años"</formula1>
    </dataValidation>
    <dataValidation type="list" allowBlank="1" showErrorMessage="1" sqref="F2:F29" xr:uid="{00000000-0002-0000-0000-000003000000}">
      <formula1>"Right,Left"</formula1>
    </dataValidation>
    <dataValidation type="list" allowBlank="1" showErrorMessage="1" sqref="N2:N29" xr:uid="{00000000-0002-0000-0000-000004000000}">
      <formula1>"Clave,Importante,Rotación,Ocasional,Promesa"</formula1>
    </dataValidation>
    <dataValidation type="list" allowBlank="1" showInputMessage="1" showErrorMessage="1" sqref="X7" xr:uid="{00000000-0002-0000-0000-000005000000}">
      <formula1>TEMPORADAS</formula1>
    </dataValidation>
    <dataValidation type="list" allowBlank="1" showInputMessage="1" showErrorMessage="1" sqref="U7 A1:A1048576 Q1:Q1048576" xr:uid="{88E259F3-20E0-4CF0-A255-4D0707EE363C}">
      <formula1>SeasonsList</formula1>
    </dataValidation>
  </dataValidations>
  <pageMargins left="0.7" right="0.7" top="0.75" bottom="0.75" header="0.3" footer="0.3"/>
  <ignoredErrors>
    <ignoredError sqref="A30:O31 A1:O1 P3:XFD5 P58:XFD1048576 P41 T41:U41 P8:XFD34 P7:T7 Z7:XFD7 A36:O1048576 A32:A34 A35:J35 L35:O35 P43:P51 T51:XFD51 P42 W41:XFD41 P35:U40 W35:XFD40 T42:U42 W42:XFD44 T44:U44 T43:U43 T45:XFD45 T46:XFD46 T47:XFD47 T48:XFD48 T49:XFD49 T50:XFD50 P52:P57 T52:XFD57 P1:R1 T1:XFD1 P6:T6 V6:X6 V7:X7 Z6:XFD6 P2:U2 W2:XFD2" listDataValidatio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58"/>
  <sheetViews>
    <sheetView zoomScale="85" zoomScaleNormal="85" workbookViewId="0">
      <pane ySplit="1" topLeftCell="A2" activePane="bottomLeft" state="frozen"/>
      <selection activeCell="E16" sqref="E16"/>
      <selection pane="bottomLeft" activeCell="E16" sqref="E16"/>
    </sheetView>
  </sheetViews>
  <sheetFormatPr baseColWidth="10" defaultColWidth="12.5703125" defaultRowHeight="15.75" customHeight="1" x14ac:dyDescent="0.2"/>
  <cols>
    <col min="1" max="1" width="13.7109375" bestFit="1" customWidth="1"/>
    <col min="2" max="2" width="21.140625" customWidth="1"/>
    <col min="4" max="4" width="13.28515625" bestFit="1" customWidth="1"/>
    <col min="5" max="5" width="19.7109375" bestFit="1" customWidth="1"/>
    <col min="6" max="6" width="15.5703125" bestFit="1" customWidth="1"/>
    <col min="7" max="7" width="17.7109375" bestFit="1" customWidth="1"/>
    <col min="8" max="8" width="21.140625" style="21" bestFit="1" customWidth="1"/>
    <col min="9" max="9" width="18.42578125" bestFit="1" customWidth="1"/>
    <col min="10" max="10" width="18.85546875" bestFit="1" customWidth="1"/>
    <col min="11" max="11" width="22" style="8" bestFit="1" customWidth="1"/>
    <col min="12" max="12" width="18.5703125" bestFit="1" customWidth="1"/>
    <col min="16" max="16" width="17" bestFit="1" customWidth="1"/>
  </cols>
  <sheetData>
    <row r="1" spans="1:26" ht="12.75" x14ac:dyDescent="0.2">
      <c r="A1" s="10" t="s">
        <v>0</v>
      </c>
      <c r="B1" s="1" t="s">
        <v>2</v>
      </c>
      <c r="C1" s="7" t="s">
        <v>96</v>
      </c>
      <c r="D1" s="7" t="s">
        <v>97</v>
      </c>
      <c r="E1" s="7" t="s">
        <v>98</v>
      </c>
      <c r="F1" s="7" t="s">
        <v>99</v>
      </c>
      <c r="G1" s="7" t="s">
        <v>100</v>
      </c>
      <c r="H1" s="20" t="s">
        <v>118</v>
      </c>
      <c r="I1" s="7" t="s">
        <v>116</v>
      </c>
      <c r="J1" s="7" t="s">
        <v>117</v>
      </c>
      <c r="K1" s="22" t="s">
        <v>121</v>
      </c>
      <c r="L1" s="7" t="s">
        <v>101</v>
      </c>
      <c r="M1" s="1"/>
      <c r="N1" s="7"/>
      <c r="O1" s="7"/>
      <c r="P1" s="7"/>
      <c r="Q1" s="7"/>
      <c r="R1" s="7"/>
      <c r="S1" s="7"/>
      <c r="T1" s="1"/>
      <c r="U1" s="1"/>
      <c r="V1" s="1"/>
      <c r="W1" s="1"/>
      <c r="X1" s="1"/>
      <c r="Y1" s="1"/>
      <c r="Z1" s="1"/>
    </row>
    <row r="2" spans="1:26" ht="12.75" x14ac:dyDescent="0.2">
      <c r="A2" s="61" t="s">
        <v>17</v>
      </c>
      <c r="B2" s="62" t="s">
        <v>41</v>
      </c>
      <c r="C2" s="63">
        <v>1</v>
      </c>
      <c r="D2" s="63">
        <v>3</v>
      </c>
      <c r="E2" s="63">
        <v>1</v>
      </c>
      <c r="F2" s="63">
        <v>0</v>
      </c>
      <c r="G2" s="63">
        <v>3</v>
      </c>
      <c r="H2" s="64">
        <v>6.21</v>
      </c>
      <c r="I2" s="63">
        <v>75</v>
      </c>
      <c r="J2" s="63">
        <v>75</v>
      </c>
      <c r="K2" s="89">
        <v>7500000</v>
      </c>
      <c r="L2" s="65">
        <v>12</v>
      </c>
      <c r="M2" s="1"/>
      <c r="N2" s="7"/>
      <c r="O2" s="7"/>
      <c r="P2" s="7"/>
      <c r="Q2" s="7"/>
      <c r="R2" s="7"/>
      <c r="S2" s="7"/>
      <c r="T2" s="1"/>
      <c r="U2" s="1"/>
      <c r="V2" s="1"/>
      <c r="W2" s="1"/>
      <c r="X2" s="1"/>
      <c r="Y2" s="1"/>
      <c r="Z2" s="1"/>
    </row>
    <row r="3" spans="1:26" ht="12.75" x14ac:dyDescent="0.2">
      <c r="A3" s="66" t="s">
        <v>17</v>
      </c>
      <c r="B3" s="1" t="s">
        <v>58</v>
      </c>
      <c r="C3" s="7">
        <v>9</v>
      </c>
      <c r="D3" s="7">
        <v>7</v>
      </c>
      <c r="E3" s="7">
        <v>2</v>
      </c>
      <c r="F3" s="7">
        <v>1</v>
      </c>
      <c r="G3" s="7">
        <v>11</v>
      </c>
      <c r="H3" s="20">
        <v>7.06</v>
      </c>
      <c r="I3" s="7">
        <v>78</v>
      </c>
      <c r="J3" s="7">
        <v>76</v>
      </c>
      <c r="K3" s="90">
        <v>11500000</v>
      </c>
      <c r="L3" s="67">
        <v>25</v>
      </c>
      <c r="M3" s="1"/>
      <c r="Q3" s="7"/>
      <c r="R3" s="7"/>
      <c r="S3" s="7"/>
      <c r="T3" s="1"/>
      <c r="U3" s="1"/>
      <c r="V3" s="1"/>
      <c r="W3" s="1"/>
      <c r="X3" s="1"/>
      <c r="Y3" s="1"/>
      <c r="Z3" s="1"/>
    </row>
    <row r="4" spans="1:26" ht="12.75" x14ac:dyDescent="0.2">
      <c r="A4" s="66" t="s">
        <v>17</v>
      </c>
      <c r="B4" s="1" t="s">
        <v>103</v>
      </c>
      <c r="C4" s="7">
        <v>14</v>
      </c>
      <c r="D4" s="7">
        <v>11</v>
      </c>
      <c r="E4" s="7">
        <v>1</v>
      </c>
      <c r="F4" s="7">
        <v>0</v>
      </c>
      <c r="G4" s="7">
        <v>16</v>
      </c>
      <c r="H4" s="20">
        <v>7.15</v>
      </c>
      <c r="I4" s="7">
        <v>76</v>
      </c>
      <c r="J4" s="7">
        <v>71</v>
      </c>
      <c r="K4" s="90">
        <v>3000000</v>
      </c>
      <c r="L4" s="67">
        <v>36</v>
      </c>
      <c r="M4" s="1"/>
      <c r="Q4" s="7"/>
      <c r="R4" s="7"/>
      <c r="S4" s="7"/>
      <c r="T4" s="1"/>
      <c r="U4" s="1"/>
      <c r="V4" s="1"/>
      <c r="W4" s="1"/>
      <c r="X4" s="1"/>
      <c r="Y4" s="1"/>
      <c r="Z4" s="1"/>
    </row>
    <row r="5" spans="1:26" ht="13.5" thickBot="1" x14ac:dyDescent="0.25">
      <c r="A5" s="66" t="s">
        <v>17</v>
      </c>
      <c r="B5" s="1" t="s">
        <v>124</v>
      </c>
      <c r="C5" s="7">
        <v>5</v>
      </c>
      <c r="D5" s="7">
        <v>10</v>
      </c>
      <c r="E5" s="7">
        <v>2</v>
      </c>
      <c r="F5" s="7">
        <v>0</v>
      </c>
      <c r="G5" s="7">
        <v>13</v>
      </c>
      <c r="H5" s="20">
        <v>6.94</v>
      </c>
      <c r="I5" s="7">
        <v>74</v>
      </c>
      <c r="J5" s="7">
        <v>69</v>
      </c>
      <c r="K5" s="90">
        <v>3400000</v>
      </c>
      <c r="L5" s="67">
        <v>32</v>
      </c>
      <c r="M5" s="1"/>
      <c r="Q5" s="7"/>
      <c r="R5" s="7"/>
      <c r="S5" s="7"/>
      <c r="T5" s="1"/>
      <c r="U5" s="1"/>
      <c r="V5" s="1"/>
      <c r="W5" s="1"/>
      <c r="X5" s="1"/>
      <c r="Y5" s="1"/>
      <c r="Z5" s="1"/>
    </row>
    <row r="6" spans="1:26" ht="12.75" x14ac:dyDescent="0.2">
      <c r="A6" s="66" t="s">
        <v>17</v>
      </c>
      <c r="B6" s="1" t="s">
        <v>104</v>
      </c>
      <c r="C6" s="7">
        <v>11</v>
      </c>
      <c r="D6" s="7">
        <v>2</v>
      </c>
      <c r="E6" s="7">
        <v>1</v>
      </c>
      <c r="F6" s="7">
        <v>0</v>
      </c>
      <c r="G6" s="7">
        <v>11</v>
      </c>
      <c r="H6" s="20">
        <v>7.02</v>
      </c>
      <c r="I6" s="7">
        <v>72</v>
      </c>
      <c r="J6" s="7">
        <v>70</v>
      </c>
      <c r="K6" s="90">
        <v>3600000</v>
      </c>
      <c r="L6" s="67">
        <v>21</v>
      </c>
      <c r="M6" s="1"/>
      <c r="O6" s="107" t="s">
        <v>126</v>
      </c>
      <c r="P6" s="108"/>
      <c r="Q6" s="7"/>
      <c r="R6" s="7"/>
      <c r="S6" s="7"/>
      <c r="T6" s="1"/>
      <c r="U6" s="1"/>
      <c r="V6" s="1"/>
      <c r="W6" s="1"/>
      <c r="X6" s="1"/>
      <c r="Y6" s="1"/>
      <c r="Z6" s="1"/>
    </row>
    <row r="7" spans="1:26" ht="12.75" x14ac:dyDescent="0.2">
      <c r="A7" s="66" t="s">
        <v>17</v>
      </c>
      <c r="B7" s="1" t="s">
        <v>87</v>
      </c>
      <c r="C7" s="7">
        <v>4</v>
      </c>
      <c r="D7" s="7">
        <v>2</v>
      </c>
      <c r="E7" s="7">
        <v>2</v>
      </c>
      <c r="F7" s="7">
        <v>0</v>
      </c>
      <c r="G7" s="7">
        <v>3</v>
      </c>
      <c r="H7" s="20">
        <v>6.31</v>
      </c>
      <c r="I7" s="7">
        <v>78</v>
      </c>
      <c r="J7" s="7">
        <v>74</v>
      </c>
      <c r="K7" s="90">
        <v>10000000</v>
      </c>
      <c r="L7" s="67">
        <v>16</v>
      </c>
      <c r="M7" s="1"/>
      <c r="O7" s="27"/>
      <c r="P7" s="28"/>
      <c r="Q7" s="7"/>
      <c r="R7" s="7"/>
      <c r="S7" s="7"/>
      <c r="T7" s="1"/>
      <c r="U7" s="1"/>
      <c r="V7" s="1"/>
      <c r="W7" s="1"/>
      <c r="X7" s="1"/>
      <c r="Y7" s="1"/>
      <c r="Z7" s="1"/>
    </row>
    <row r="8" spans="1:26" ht="13.5" thickBot="1" x14ac:dyDescent="0.25">
      <c r="A8" s="66" t="s">
        <v>17</v>
      </c>
      <c r="B8" s="1" t="s">
        <v>110</v>
      </c>
      <c r="C8" s="7">
        <v>0</v>
      </c>
      <c r="D8" s="7">
        <v>1</v>
      </c>
      <c r="E8" s="7">
        <v>0</v>
      </c>
      <c r="F8" s="7">
        <v>0</v>
      </c>
      <c r="G8" s="7">
        <v>18</v>
      </c>
      <c r="H8" s="20">
        <v>6.72</v>
      </c>
      <c r="I8" s="55">
        <v>73</v>
      </c>
      <c r="J8" s="7">
        <v>69</v>
      </c>
      <c r="K8" s="90">
        <v>3500000</v>
      </c>
      <c r="L8" s="67">
        <v>43</v>
      </c>
      <c r="M8" s="1"/>
      <c r="O8" s="29" t="s">
        <v>57</v>
      </c>
      <c r="P8" s="31" t="s">
        <v>124</v>
      </c>
      <c r="Q8" s="7"/>
      <c r="R8" s="7"/>
      <c r="S8" s="7"/>
      <c r="T8" s="1"/>
      <c r="U8" s="1"/>
      <c r="V8" s="1"/>
      <c r="W8" s="1"/>
      <c r="X8" s="1"/>
      <c r="Y8" s="1"/>
      <c r="Z8" s="1"/>
    </row>
    <row r="9" spans="1:26" ht="12.75" x14ac:dyDescent="0.2">
      <c r="A9" s="66" t="s">
        <v>17</v>
      </c>
      <c r="B9" s="1" t="s">
        <v>111</v>
      </c>
      <c r="C9" s="7">
        <v>2</v>
      </c>
      <c r="D9" s="7">
        <v>1</v>
      </c>
      <c r="E9" s="7">
        <v>3</v>
      </c>
      <c r="F9" s="7">
        <v>1</v>
      </c>
      <c r="G9" s="7">
        <v>16</v>
      </c>
      <c r="H9" s="20">
        <v>7.1</v>
      </c>
      <c r="I9" s="55">
        <v>74</v>
      </c>
      <c r="J9" s="7">
        <v>69</v>
      </c>
      <c r="K9" s="90">
        <v>3500000</v>
      </c>
      <c r="L9" s="67">
        <v>39</v>
      </c>
      <c r="M9" s="1"/>
      <c r="Q9" s="7"/>
      <c r="R9" s="7"/>
      <c r="S9" s="7"/>
      <c r="T9" s="1"/>
      <c r="U9" s="1"/>
      <c r="V9" s="1"/>
      <c r="W9" s="1"/>
      <c r="X9" s="1"/>
      <c r="Y9" s="1"/>
      <c r="Z9" s="1"/>
    </row>
    <row r="10" spans="1:26" ht="12.75" x14ac:dyDescent="0.2">
      <c r="A10" s="66" t="s">
        <v>17</v>
      </c>
      <c r="B10" s="1" t="s">
        <v>102</v>
      </c>
      <c r="C10" s="7">
        <v>18</v>
      </c>
      <c r="D10" s="7">
        <v>4</v>
      </c>
      <c r="E10" s="7">
        <v>1</v>
      </c>
      <c r="F10" s="7">
        <v>1</v>
      </c>
      <c r="G10" s="7">
        <v>17</v>
      </c>
      <c r="H10" s="20">
        <v>7.56</v>
      </c>
      <c r="I10" s="7">
        <v>80</v>
      </c>
      <c r="J10" s="7">
        <v>74</v>
      </c>
      <c r="K10" s="90">
        <v>9000000</v>
      </c>
      <c r="L10" s="67">
        <v>41</v>
      </c>
      <c r="M10" s="1"/>
      <c r="Q10" s="7"/>
      <c r="R10" s="7"/>
      <c r="S10" s="7"/>
      <c r="T10" s="1"/>
      <c r="U10" s="1"/>
      <c r="V10" s="1"/>
      <c r="W10" s="1"/>
      <c r="X10" s="1"/>
      <c r="Y10" s="1"/>
      <c r="Z10" s="1"/>
    </row>
    <row r="11" spans="1:26" ht="12.75" x14ac:dyDescent="0.2">
      <c r="A11" s="66" t="s">
        <v>17</v>
      </c>
      <c r="B11" s="1" t="s">
        <v>36</v>
      </c>
      <c r="C11" s="7">
        <v>2</v>
      </c>
      <c r="D11" s="7">
        <v>0</v>
      </c>
      <c r="E11" s="7">
        <v>2</v>
      </c>
      <c r="F11" s="7">
        <v>1</v>
      </c>
      <c r="G11" s="7">
        <v>11</v>
      </c>
      <c r="H11" s="20">
        <v>6.29</v>
      </c>
      <c r="I11" s="7">
        <v>73</v>
      </c>
      <c r="J11" s="7">
        <v>69</v>
      </c>
      <c r="K11" s="90">
        <v>3100000</v>
      </c>
      <c r="L11" s="67">
        <v>23</v>
      </c>
      <c r="M11" s="1"/>
      <c r="Q11" s="7"/>
      <c r="R11" s="7"/>
      <c r="S11" s="7"/>
      <c r="T11" s="1"/>
      <c r="U11" s="1"/>
      <c r="V11" s="1"/>
      <c r="W11" s="1"/>
      <c r="X11" s="1"/>
      <c r="Y11" s="1"/>
      <c r="Z11" s="1"/>
    </row>
    <row r="12" spans="1:26" ht="12.75" x14ac:dyDescent="0.2">
      <c r="A12" s="66" t="s">
        <v>17</v>
      </c>
      <c r="B12" s="1" t="s">
        <v>105</v>
      </c>
      <c r="C12" s="7">
        <v>1</v>
      </c>
      <c r="D12" s="7">
        <v>1</v>
      </c>
      <c r="E12" s="7">
        <v>1</v>
      </c>
      <c r="F12" s="7">
        <v>0</v>
      </c>
      <c r="G12" s="7">
        <v>9</v>
      </c>
      <c r="H12" s="20">
        <v>6.39</v>
      </c>
      <c r="I12" s="7">
        <v>74</v>
      </c>
      <c r="J12" s="7">
        <v>72</v>
      </c>
      <c r="K12" s="90">
        <v>2300000</v>
      </c>
      <c r="L12" s="67">
        <v>19</v>
      </c>
      <c r="M12" s="1"/>
      <c r="Q12" s="7"/>
      <c r="R12" s="7"/>
      <c r="S12" s="7"/>
      <c r="T12" s="1"/>
      <c r="U12" s="1"/>
      <c r="V12" s="1"/>
      <c r="W12" s="1"/>
      <c r="X12" s="1"/>
      <c r="Y12" s="1"/>
      <c r="Z12" s="1"/>
    </row>
    <row r="13" spans="1:26" ht="12.75" x14ac:dyDescent="0.2">
      <c r="A13" s="66" t="s">
        <v>17</v>
      </c>
      <c r="B13" s="1" t="s">
        <v>66</v>
      </c>
      <c r="C13" s="7">
        <v>1</v>
      </c>
      <c r="D13" s="7">
        <v>2</v>
      </c>
      <c r="E13" s="7">
        <v>1</v>
      </c>
      <c r="F13" s="7">
        <v>0</v>
      </c>
      <c r="G13" s="7">
        <v>13</v>
      </c>
      <c r="H13" s="20">
        <v>6.61</v>
      </c>
      <c r="I13" s="55">
        <v>75</v>
      </c>
      <c r="J13" s="7">
        <v>74</v>
      </c>
      <c r="K13" s="90">
        <v>9000000</v>
      </c>
      <c r="L13" s="67">
        <v>32</v>
      </c>
      <c r="M13" s="1"/>
      <c r="Q13" s="7"/>
      <c r="R13" s="7"/>
      <c r="S13" s="7"/>
      <c r="T13" s="1"/>
      <c r="U13" s="1"/>
      <c r="V13" s="1"/>
      <c r="W13" s="1"/>
      <c r="X13" s="1"/>
      <c r="Y13" s="1"/>
      <c r="Z13" s="1"/>
    </row>
    <row r="14" spans="1:26" ht="12.75" x14ac:dyDescent="0.2">
      <c r="A14" s="66" t="s">
        <v>17</v>
      </c>
      <c r="B14" s="1" t="s">
        <v>83</v>
      </c>
      <c r="C14" s="7">
        <v>2</v>
      </c>
      <c r="D14" s="7">
        <v>3</v>
      </c>
      <c r="E14" s="7">
        <v>1</v>
      </c>
      <c r="F14" s="7">
        <v>0</v>
      </c>
      <c r="G14" s="7">
        <v>14</v>
      </c>
      <c r="H14" s="20">
        <v>6.74</v>
      </c>
      <c r="I14" s="55">
        <v>75</v>
      </c>
      <c r="J14" s="7">
        <v>71</v>
      </c>
      <c r="K14" s="90">
        <v>3900000</v>
      </c>
      <c r="L14" s="67">
        <v>36</v>
      </c>
      <c r="M14" s="1"/>
      <c r="Q14" s="7"/>
      <c r="R14" s="7"/>
      <c r="S14" s="7"/>
      <c r="T14" s="1"/>
      <c r="U14" s="1"/>
      <c r="V14" s="1"/>
      <c r="W14" s="1"/>
      <c r="X14" s="1"/>
      <c r="Y14" s="1"/>
      <c r="Z14" s="1"/>
    </row>
    <row r="15" spans="1:26" ht="12.75" x14ac:dyDescent="0.2">
      <c r="A15" s="66" t="s">
        <v>17</v>
      </c>
      <c r="B15" s="1" t="s">
        <v>26</v>
      </c>
      <c r="C15" s="7">
        <v>1</v>
      </c>
      <c r="D15" s="7">
        <v>0</v>
      </c>
      <c r="E15" s="7">
        <v>2</v>
      </c>
      <c r="F15" s="7">
        <v>0</v>
      </c>
      <c r="G15" s="7">
        <v>17</v>
      </c>
      <c r="H15" s="20">
        <v>6.89</v>
      </c>
      <c r="I15" s="55">
        <v>75</v>
      </c>
      <c r="J15" s="7">
        <v>71</v>
      </c>
      <c r="K15" s="90">
        <v>4100000</v>
      </c>
      <c r="L15" s="67">
        <v>39</v>
      </c>
      <c r="M15" s="1"/>
      <c r="N15" s="7"/>
      <c r="O15" s="7"/>
      <c r="P15" s="7"/>
      <c r="Q15" s="7"/>
      <c r="R15" s="7"/>
      <c r="S15" s="7"/>
      <c r="T15" s="1"/>
      <c r="U15" s="1"/>
      <c r="V15" s="1"/>
      <c r="W15" s="1"/>
      <c r="X15" s="1"/>
      <c r="Y15" s="1"/>
      <c r="Z15" s="1"/>
    </row>
    <row r="16" spans="1:26" ht="12.75" x14ac:dyDescent="0.2">
      <c r="A16" s="66" t="s">
        <v>17</v>
      </c>
      <c r="B16" s="1" t="s">
        <v>18</v>
      </c>
      <c r="C16" s="7">
        <v>1</v>
      </c>
      <c r="D16" s="7">
        <v>0</v>
      </c>
      <c r="E16" s="7">
        <v>1</v>
      </c>
      <c r="F16" s="7">
        <v>1</v>
      </c>
      <c r="G16" s="7">
        <v>16</v>
      </c>
      <c r="H16" s="20">
        <v>6.67</v>
      </c>
      <c r="I16" s="55">
        <v>71</v>
      </c>
      <c r="J16" s="7">
        <v>68</v>
      </c>
      <c r="K16" s="90">
        <v>3600000</v>
      </c>
      <c r="L16" s="67">
        <v>37</v>
      </c>
      <c r="M16" s="1"/>
      <c r="N16" s="7"/>
      <c r="O16" s="7"/>
      <c r="P16" s="7"/>
      <c r="Q16" s="7"/>
      <c r="R16" s="7"/>
      <c r="S16" s="7"/>
      <c r="T16" s="1"/>
      <c r="U16" s="1"/>
      <c r="V16" s="1"/>
      <c r="W16" s="1"/>
      <c r="X16" s="1"/>
      <c r="Y16" s="1"/>
      <c r="Z16" s="1"/>
    </row>
    <row r="17" spans="1:26" ht="12.75" x14ac:dyDescent="0.2">
      <c r="A17" s="66" t="s">
        <v>17</v>
      </c>
      <c r="B17" s="56" t="s">
        <v>74</v>
      </c>
      <c r="C17" s="7">
        <v>3</v>
      </c>
      <c r="D17" s="7">
        <v>2</v>
      </c>
      <c r="E17" s="7">
        <v>0</v>
      </c>
      <c r="F17" s="7">
        <v>0</v>
      </c>
      <c r="G17" s="7">
        <v>4</v>
      </c>
      <c r="H17" s="20">
        <v>6.28</v>
      </c>
      <c r="I17" s="55">
        <v>79</v>
      </c>
      <c r="J17" s="7">
        <v>79</v>
      </c>
      <c r="K17" s="90">
        <v>17000000</v>
      </c>
      <c r="L17" s="67">
        <v>11</v>
      </c>
      <c r="M17" s="1"/>
      <c r="N17" s="7"/>
      <c r="O17" s="7"/>
      <c r="P17" s="7"/>
      <c r="Q17" s="7"/>
      <c r="R17" s="7"/>
      <c r="S17" s="7"/>
      <c r="T17" s="1"/>
      <c r="U17" s="1"/>
      <c r="V17" s="1"/>
      <c r="W17" s="1"/>
      <c r="X17" s="1"/>
      <c r="Y17" s="1"/>
      <c r="Z17" s="1"/>
    </row>
    <row r="18" spans="1:26" ht="12.75" x14ac:dyDescent="0.2">
      <c r="A18" s="66" t="s">
        <v>17</v>
      </c>
      <c r="B18" s="56" t="s">
        <v>30</v>
      </c>
      <c r="C18" s="7">
        <v>0</v>
      </c>
      <c r="D18" s="7">
        <v>2</v>
      </c>
      <c r="E18" s="7">
        <v>1</v>
      </c>
      <c r="F18" s="7">
        <v>0</v>
      </c>
      <c r="G18" s="7">
        <v>10</v>
      </c>
      <c r="H18" s="20">
        <v>6.38</v>
      </c>
      <c r="I18" s="55">
        <v>71</v>
      </c>
      <c r="J18" s="7">
        <v>68</v>
      </c>
      <c r="K18" s="90">
        <v>2700000</v>
      </c>
      <c r="L18" s="67">
        <v>25</v>
      </c>
      <c r="M18" s="1"/>
      <c r="N18" s="7"/>
      <c r="O18" s="7"/>
      <c r="P18" s="7"/>
      <c r="Q18" s="7"/>
      <c r="R18" s="7"/>
      <c r="S18" s="7"/>
      <c r="T18" s="1"/>
      <c r="U18" s="1"/>
      <c r="V18" s="1"/>
      <c r="W18" s="1"/>
      <c r="X18" s="1"/>
      <c r="Y18" s="1"/>
      <c r="Z18" s="1"/>
    </row>
    <row r="19" spans="1:26" ht="12.75" x14ac:dyDescent="0.2">
      <c r="A19" s="66" t="s">
        <v>17</v>
      </c>
      <c r="B19" s="56" t="s">
        <v>112</v>
      </c>
      <c r="C19" s="7">
        <v>0</v>
      </c>
      <c r="D19" s="7">
        <v>0</v>
      </c>
      <c r="E19" s="7">
        <v>2</v>
      </c>
      <c r="F19" s="7">
        <v>0</v>
      </c>
      <c r="G19" s="7">
        <v>13</v>
      </c>
      <c r="H19" s="20">
        <v>6.41</v>
      </c>
      <c r="I19" s="55">
        <v>73</v>
      </c>
      <c r="J19" s="7">
        <v>70</v>
      </c>
      <c r="K19" s="90">
        <v>3500000</v>
      </c>
      <c r="L19" s="67">
        <v>22</v>
      </c>
      <c r="M19" s="1"/>
      <c r="N19" s="7"/>
      <c r="O19" s="7"/>
      <c r="P19" s="7"/>
      <c r="Q19" s="7"/>
      <c r="R19" s="7"/>
      <c r="S19" s="7"/>
      <c r="T19" s="1"/>
      <c r="U19" s="1"/>
      <c r="V19" s="1"/>
      <c r="W19" s="1"/>
      <c r="X19" s="1"/>
      <c r="Y19" s="1"/>
      <c r="Z19" s="1"/>
    </row>
    <row r="20" spans="1:26" ht="12.75" x14ac:dyDescent="0.2">
      <c r="A20" s="66" t="s">
        <v>17</v>
      </c>
      <c r="B20" s="56" t="s">
        <v>113</v>
      </c>
      <c r="C20" s="7">
        <v>3</v>
      </c>
      <c r="D20" s="7">
        <v>1</v>
      </c>
      <c r="E20" s="7">
        <v>0</v>
      </c>
      <c r="F20" s="7">
        <v>0</v>
      </c>
      <c r="G20" s="7">
        <v>10</v>
      </c>
      <c r="H20" s="20">
        <v>6.52</v>
      </c>
      <c r="I20" s="55">
        <v>80</v>
      </c>
      <c r="J20" s="7">
        <v>80</v>
      </c>
      <c r="K20" s="90">
        <v>17500000</v>
      </c>
      <c r="L20" s="67">
        <v>21</v>
      </c>
      <c r="M20" s="1"/>
      <c r="N20" s="7"/>
      <c r="O20" s="7"/>
      <c r="P20" s="7"/>
      <c r="Q20" s="7"/>
      <c r="R20" s="7"/>
      <c r="S20" s="7"/>
      <c r="T20" s="1"/>
      <c r="U20" s="1"/>
      <c r="V20" s="1"/>
      <c r="W20" s="1"/>
      <c r="X20" s="1"/>
      <c r="Y20" s="1"/>
      <c r="Z20" s="1"/>
    </row>
    <row r="21" spans="1:26" ht="12.75" x14ac:dyDescent="0.2">
      <c r="A21" s="66" t="s">
        <v>17</v>
      </c>
      <c r="B21" s="1" t="s">
        <v>123</v>
      </c>
      <c r="C21" s="7">
        <v>1</v>
      </c>
      <c r="D21" s="7">
        <v>1</v>
      </c>
      <c r="E21" s="7">
        <v>0</v>
      </c>
      <c r="F21" s="7">
        <v>0</v>
      </c>
      <c r="G21" s="7">
        <v>8</v>
      </c>
      <c r="H21" s="20">
        <v>6.35</v>
      </c>
      <c r="I21" s="7">
        <v>73</v>
      </c>
      <c r="J21" s="7">
        <v>69</v>
      </c>
      <c r="K21" s="90">
        <v>3000000</v>
      </c>
      <c r="L21" s="67">
        <v>17</v>
      </c>
      <c r="M21" s="1"/>
      <c r="N21" s="7"/>
      <c r="O21" s="7"/>
      <c r="P21" s="7"/>
      <c r="Q21" s="7"/>
      <c r="R21" s="7"/>
      <c r="S21" s="7"/>
      <c r="T21" s="1"/>
      <c r="U21" s="1"/>
      <c r="V21" s="1"/>
      <c r="W21" s="1"/>
      <c r="X21" s="1"/>
      <c r="Y21" s="1"/>
      <c r="Z21" s="1"/>
    </row>
    <row r="22" spans="1:26" ht="12.75" x14ac:dyDescent="0.2">
      <c r="A22" s="66" t="s">
        <v>17</v>
      </c>
      <c r="B22" s="1" t="s">
        <v>77</v>
      </c>
      <c r="C22" s="7">
        <v>0</v>
      </c>
      <c r="D22" s="7">
        <v>0</v>
      </c>
      <c r="E22" s="7">
        <v>1</v>
      </c>
      <c r="F22" s="7">
        <v>0</v>
      </c>
      <c r="G22" s="7">
        <v>5</v>
      </c>
      <c r="H22" s="20">
        <v>6.25</v>
      </c>
      <c r="I22" s="7">
        <v>71</v>
      </c>
      <c r="J22" s="7">
        <v>71</v>
      </c>
      <c r="K22" s="90">
        <v>1500000</v>
      </c>
      <c r="L22" s="67">
        <v>7</v>
      </c>
      <c r="M22" s="1"/>
      <c r="N22" s="7"/>
      <c r="O22" s="7"/>
      <c r="P22" s="7"/>
      <c r="Q22" s="7"/>
      <c r="R22" s="7"/>
      <c r="S22" s="7"/>
      <c r="T22" s="1"/>
      <c r="U22" s="1"/>
      <c r="V22" s="1"/>
      <c r="W22" s="1"/>
      <c r="X22" s="1"/>
      <c r="Y22" s="1"/>
      <c r="Z22" s="1"/>
    </row>
    <row r="23" spans="1:26" ht="12.75" x14ac:dyDescent="0.2">
      <c r="A23" s="66" t="s">
        <v>17</v>
      </c>
      <c r="B23" s="1" t="s">
        <v>122</v>
      </c>
      <c r="C23" s="7">
        <v>1</v>
      </c>
      <c r="D23" s="7">
        <v>1</v>
      </c>
      <c r="E23" s="7">
        <v>1</v>
      </c>
      <c r="F23" s="7">
        <v>0</v>
      </c>
      <c r="G23" s="7">
        <v>7</v>
      </c>
      <c r="H23" s="20">
        <v>6.38</v>
      </c>
      <c r="I23" s="7">
        <v>75</v>
      </c>
      <c r="J23" s="7">
        <v>67</v>
      </c>
      <c r="K23" s="90">
        <v>1300000</v>
      </c>
      <c r="L23" s="67">
        <v>17</v>
      </c>
      <c r="M23" s="1"/>
      <c r="N23" s="7"/>
      <c r="O23" s="7"/>
      <c r="P23" s="7"/>
      <c r="Q23" s="7"/>
      <c r="R23" s="7"/>
      <c r="S23" s="7"/>
      <c r="T23" s="1"/>
      <c r="U23" s="1"/>
      <c r="V23" s="1"/>
      <c r="W23" s="1"/>
      <c r="X23" s="1"/>
      <c r="Y23" s="1"/>
      <c r="Z23" s="1"/>
    </row>
    <row r="24" spans="1:26" ht="12.75" x14ac:dyDescent="0.2">
      <c r="A24" s="66" t="s">
        <v>57</v>
      </c>
      <c r="B24" s="1" t="s">
        <v>41</v>
      </c>
      <c r="C24" s="7">
        <v>0</v>
      </c>
      <c r="D24" s="7">
        <v>4</v>
      </c>
      <c r="E24" s="7">
        <v>1</v>
      </c>
      <c r="F24" s="7">
        <v>0</v>
      </c>
      <c r="G24" s="7">
        <v>0</v>
      </c>
      <c r="H24" s="20">
        <v>6.12</v>
      </c>
      <c r="I24" s="7">
        <v>76</v>
      </c>
      <c r="J24" s="7">
        <v>75</v>
      </c>
      <c r="K24" s="90">
        <v>8000000</v>
      </c>
      <c r="L24" s="67">
        <v>15</v>
      </c>
      <c r="M24" s="1"/>
      <c r="N24" s="7"/>
      <c r="O24" s="7"/>
      <c r="P24" s="7"/>
      <c r="Q24" s="7"/>
      <c r="R24" s="7"/>
      <c r="S24" s="7"/>
      <c r="T24" s="1"/>
      <c r="U24" s="1"/>
      <c r="V24" s="1"/>
      <c r="W24" s="1"/>
      <c r="X24" s="1"/>
      <c r="Y24" s="1"/>
      <c r="Z24" s="1"/>
    </row>
    <row r="25" spans="1:26" ht="12.75" x14ac:dyDescent="0.2">
      <c r="A25" s="66" t="s">
        <v>57</v>
      </c>
      <c r="B25" s="1" t="s">
        <v>102</v>
      </c>
      <c r="C25" s="7">
        <v>21</v>
      </c>
      <c r="D25" s="7">
        <v>9</v>
      </c>
      <c r="E25" s="7">
        <v>0</v>
      </c>
      <c r="F25" s="7">
        <v>0</v>
      </c>
      <c r="G25" s="7">
        <v>4</v>
      </c>
      <c r="H25" s="20">
        <v>7.12</v>
      </c>
      <c r="I25" s="7">
        <v>85</v>
      </c>
      <c r="J25" s="7">
        <v>80</v>
      </c>
      <c r="K25" s="90">
        <v>133500000</v>
      </c>
      <c r="L25" s="67">
        <v>32</v>
      </c>
      <c r="M25" s="1"/>
      <c r="N25" s="7"/>
      <c r="O25" s="7"/>
      <c r="P25" s="7"/>
      <c r="Q25" s="7"/>
      <c r="R25" s="7"/>
      <c r="S25" s="7"/>
      <c r="T25" s="1"/>
      <c r="U25" s="1"/>
      <c r="V25" s="1"/>
      <c r="W25" s="1"/>
      <c r="X25" s="1"/>
      <c r="Y25" s="1"/>
      <c r="Z25" s="1"/>
    </row>
    <row r="26" spans="1:26" ht="12.75" x14ac:dyDescent="0.2">
      <c r="A26" s="66" t="s">
        <v>57</v>
      </c>
      <c r="B26" s="1" t="s">
        <v>103</v>
      </c>
      <c r="C26" s="7">
        <v>15</v>
      </c>
      <c r="D26" s="7">
        <v>10</v>
      </c>
      <c r="E26" s="7">
        <v>0</v>
      </c>
      <c r="F26" s="7">
        <v>1</v>
      </c>
      <c r="G26" s="7">
        <v>6</v>
      </c>
      <c r="H26" s="20">
        <v>6.75</v>
      </c>
      <c r="I26" s="7">
        <v>80</v>
      </c>
      <c r="J26" s="7">
        <v>76</v>
      </c>
      <c r="K26" s="90">
        <v>24000000</v>
      </c>
      <c r="L26" s="67">
        <v>33</v>
      </c>
      <c r="M26" s="1"/>
      <c r="N26" s="7"/>
      <c r="O26" s="7"/>
      <c r="P26" s="7"/>
      <c r="Q26" s="7"/>
      <c r="R26" s="7"/>
      <c r="S26" s="7"/>
      <c r="T26" s="1"/>
      <c r="U26" s="1"/>
      <c r="V26" s="1"/>
      <c r="W26" s="1"/>
      <c r="X26" s="1"/>
      <c r="Y26" s="1"/>
      <c r="Z26" s="1"/>
    </row>
    <row r="27" spans="1:26" ht="12.75" x14ac:dyDescent="0.2">
      <c r="A27" s="66" t="s">
        <v>57</v>
      </c>
      <c r="B27" s="1" t="s">
        <v>58</v>
      </c>
      <c r="C27" s="7">
        <v>8</v>
      </c>
      <c r="D27" s="7">
        <v>6</v>
      </c>
      <c r="E27" s="7">
        <v>2</v>
      </c>
      <c r="F27" s="7">
        <v>0</v>
      </c>
      <c r="G27" s="7">
        <v>8</v>
      </c>
      <c r="H27" s="20">
        <v>6.44</v>
      </c>
      <c r="I27" s="7">
        <v>79</v>
      </c>
      <c r="J27" s="7">
        <v>78</v>
      </c>
      <c r="K27" s="90">
        <v>19000000</v>
      </c>
      <c r="L27" s="67">
        <v>38</v>
      </c>
      <c r="M27" s="1"/>
      <c r="N27" s="7"/>
      <c r="O27" s="7"/>
      <c r="P27" s="7"/>
      <c r="Q27" s="7"/>
      <c r="R27" s="7"/>
      <c r="S27" s="7"/>
      <c r="T27" s="1"/>
      <c r="U27" s="1"/>
      <c r="V27" s="1"/>
      <c r="W27" s="1"/>
      <c r="X27" s="1"/>
      <c r="Y27" s="1"/>
      <c r="Z27" s="1"/>
    </row>
    <row r="28" spans="1:26" ht="12.75" x14ac:dyDescent="0.2">
      <c r="A28" s="66" t="s">
        <v>57</v>
      </c>
      <c r="B28" s="1" t="s">
        <v>124</v>
      </c>
      <c r="C28" s="7">
        <v>4</v>
      </c>
      <c r="D28" s="7">
        <v>10</v>
      </c>
      <c r="E28" s="7">
        <v>0</v>
      </c>
      <c r="F28" s="7">
        <v>0</v>
      </c>
      <c r="G28" s="7">
        <v>5</v>
      </c>
      <c r="H28" s="20">
        <v>6.27</v>
      </c>
      <c r="I28" s="7">
        <v>78</v>
      </c>
      <c r="J28" s="7">
        <v>74</v>
      </c>
      <c r="K28" s="90">
        <v>20000000</v>
      </c>
      <c r="L28" s="67">
        <v>31</v>
      </c>
      <c r="M28" s="1"/>
      <c r="N28" s="7"/>
      <c r="O28" s="7"/>
      <c r="P28" s="7"/>
      <c r="Q28" s="7"/>
      <c r="R28" s="7"/>
      <c r="S28" s="7"/>
      <c r="T28" s="1"/>
      <c r="U28" s="1"/>
      <c r="V28" s="1"/>
      <c r="W28" s="1"/>
      <c r="X28" s="1"/>
      <c r="Y28" s="1"/>
      <c r="Z28" s="1"/>
    </row>
    <row r="29" spans="1:26" ht="12.75" x14ac:dyDescent="0.2">
      <c r="A29" s="66" t="s">
        <v>57</v>
      </c>
      <c r="B29" s="1" t="s">
        <v>104</v>
      </c>
      <c r="C29" s="7">
        <v>15</v>
      </c>
      <c r="D29" s="7">
        <v>6</v>
      </c>
      <c r="E29" s="7">
        <v>1</v>
      </c>
      <c r="F29" s="7">
        <v>0</v>
      </c>
      <c r="G29" s="7">
        <v>3</v>
      </c>
      <c r="H29" s="20">
        <v>6.79</v>
      </c>
      <c r="I29" s="7">
        <v>78</v>
      </c>
      <c r="J29" s="7">
        <v>72</v>
      </c>
      <c r="K29" s="90">
        <v>19500000</v>
      </c>
      <c r="L29" s="67">
        <v>33</v>
      </c>
      <c r="M29" s="1"/>
      <c r="N29" s="7"/>
      <c r="O29" s="7"/>
      <c r="P29" s="7"/>
      <c r="Q29" s="7"/>
      <c r="R29" s="7"/>
      <c r="S29" s="7"/>
      <c r="T29" s="1"/>
      <c r="U29" s="1"/>
      <c r="V29" s="1"/>
      <c r="W29" s="1"/>
      <c r="X29" s="1"/>
      <c r="Y29" s="1"/>
      <c r="Z29" s="1"/>
    </row>
    <row r="30" spans="1:26" ht="12.75" x14ac:dyDescent="0.2">
      <c r="A30" s="66" t="s">
        <v>57</v>
      </c>
      <c r="B30" s="1" t="s">
        <v>87</v>
      </c>
      <c r="C30" s="7">
        <v>7</v>
      </c>
      <c r="D30" s="7">
        <v>4</v>
      </c>
      <c r="E30" s="7">
        <v>0</v>
      </c>
      <c r="F30" s="7">
        <v>1</v>
      </c>
      <c r="G30" s="7">
        <v>2</v>
      </c>
      <c r="H30" s="20">
        <v>7.16</v>
      </c>
      <c r="I30" s="7">
        <v>81</v>
      </c>
      <c r="J30" s="7">
        <v>78</v>
      </c>
      <c r="K30" s="90">
        <v>57000000</v>
      </c>
      <c r="L30" s="67">
        <v>10</v>
      </c>
      <c r="M30" s="1"/>
      <c r="N30" s="7"/>
      <c r="O30" s="7"/>
      <c r="P30" s="7"/>
      <c r="Q30" s="7"/>
      <c r="R30" s="7"/>
      <c r="S30" s="7"/>
      <c r="T30" s="1"/>
      <c r="U30" s="1"/>
      <c r="V30" s="1"/>
      <c r="W30" s="1"/>
      <c r="X30" s="1"/>
      <c r="Y30" s="1"/>
      <c r="Z30" s="1"/>
    </row>
    <row r="31" spans="1:26" ht="12.75" x14ac:dyDescent="0.2">
      <c r="A31" s="66" t="s">
        <v>57</v>
      </c>
      <c r="B31" s="1" t="s">
        <v>36</v>
      </c>
      <c r="C31" s="7">
        <v>0</v>
      </c>
      <c r="D31" s="7">
        <v>2</v>
      </c>
      <c r="E31" s="7">
        <v>0</v>
      </c>
      <c r="F31" s="7">
        <v>0</v>
      </c>
      <c r="G31" s="7">
        <v>2</v>
      </c>
      <c r="H31" s="20">
        <v>6.15</v>
      </c>
      <c r="I31" s="7">
        <v>76</v>
      </c>
      <c r="J31" s="7">
        <v>73</v>
      </c>
      <c r="K31" s="90">
        <v>9000000</v>
      </c>
      <c r="L31" s="67">
        <v>26</v>
      </c>
      <c r="M31" s="1"/>
      <c r="N31" s="7"/>
      <c r="O31" s="7"/>
      <c r="P31" s="7"/>
      <c r="Q31" s="7"/>
      <c r="R31" s="7"/>
      <c r="S31" s="7"/>
      <c r="T31" s="1"/>
      <c r="U31" s="1"/>
      <c r="V31" s="1"/>
      <c r="W31" s="1"/>
      <c r="X31" s="1"/>
      <c r="Y31" s="1"/>
      <c r="Z31" s="1"/>
    </row>
    <row r="32" spans="1:26" ht="12.75" x14ac:dyDescent="0.2">
      <c r="A32" s="66" t="s">
        <v>57</v>
      </c>
      <c r="B32" s="1" t="s">
        <v>105</v>
      </c>
      <c r="C32" s="7">
        <v>1</v>
      </c>
      <c r="D32" s="7">
        <v>3</v>
      </c>
      <c r="E32" s="7">
        <v>0</v>
      </c>
      <c r="F32" s="7">
        <v>0</v>
      </c>
      <c r="G32" s="7">
        <v>3</v>
      </c>
      <c r="H32" s="20">
        <v>6.37</v>
      </c>
      <c r="I32" s="7">
        <v>76</v>
      </c>
      <c r="J32" s="7">
        <v>74</v>
      </c>
      <c r="K32" s="90">
        <v>6500000</v>
      </c>
      <c r="L32" s="67">
        <v>26</v>
      </c>
      <c r="M32" s="1"/>
      <c r="N32" s="7"/>
      <c r="O32" s="7"/>
      <c r="P32" s="7"/>
      <c r="Q32" s="7"/>
      <c r="R32" s="7"/>
      <c r="S32" s="7"/>
      <c r="T32" s="1"/>
      <c r="U32" s="1"/>
      <c r="V32" s="1"/>
      <c r="W32" s="1"/>
      <c r="X32" s="1"/>
      <c r="Y32" s="1"/>
      <c r="Z32" s="1"/>
    </row>
    <row r="33" spans="1:26" ht="12.75" x14ac:dyDescent="0.2">
      <c r="A33" s="66" t="s">
        <v>57</v>
      </c>
      <c r="B33" s="56" t="s">
        <v>110</v>
      </c>
      <c r="C33" s="55">
        <v>0</v>
      </c>
      <c r="D33" s="55">
        <v>0</v>
      </c>
      <c r="E33" s="55">
        <v>0</v>
      </c>
      <c r="F33" s="55">
        <v>0</v>
      </c>
      <c r="G33" s="55">
        <v>7</v>
      </c>
      <c r="H33" s="57">
        <v>6.48</v>
      </c>
      <c r="I33" s="55">
        <v>78</v>
      </c>
      <c r="J33" s="55">
        <v>73</v>
      </c>
      <c r="K33" s="91">
        <v>41000000</v>
      </c>
      <c r="L33" s="68">
        <v>40</v>
      </c>
      <c r="M33" s="1"/>
      <c r="N33" s="7"/>
      <c r="O33" s="7"/>
      <c r="P33" s="7"/>
      <c r="Q33" s="7"/>
      <c r="R33" s="7"/>
      <c r="S33" s="7"/>
      <c r="T33" s="1"/>
      <c r="U33" s="1"/>
      <c r="V33" s="1"/>
      <c r="W33" s="1"/>
      <c r="X33" s="1"/>
      <c r="Y33" s="1"/>
      <c r="Z33" s="1"/>
    </row>
    <row r="34" spans="1:26" ht="12.75" x14ac:dyDescent="0.2">
      <c r="A34" s="66" t="s">
        <v>57</v>
      </c>
      <c r="B34" s="1" t="s">
        <v>66</v>
      </c>
      <c r="C34" s="55">
        <v>3</v>
      </c>
      <c r="D34" s="55">
        <v>2</v>
      </c>
      <c r="E34" s="55">
        <v>1</v>
      </c>
      <c r="F34" s="55">
        <v>0</v>
      </c>
      <c r="G34" s="55">
        <v>6</v>
      </c>
      <c r="H34" s="57">
        <v>6.65</v>
      </c>
      <c r="I34" s="55">
        <v>81</v>
      </c>
      <c r="J34" s="55">
        <v>75</v>
      </c>
      <c r="K34" s="91">
        <v>27500000</v>
      </c>
      <c r="L34" s="68">
        <v>37</v>
      </c>
      <c r="M34" s="1"/>
      <c r="N34" s="7"/>
      <c r="O34" s="7"/>
      <c r="P34" s="7"/>
      <c r="Q34" s="7"/>
      <c r="R34" s="7"/>
      <c r="S34" s="7"/>
      <c r="T34" s="1"/>
      <c r="U34" s="1"/>
      <c r="V34" s="1"/>
      <c r="W34" s="1"/>
      <c r="X34" s="1"/>
      <c r="Y34" s="1"/>
      <c r="Z34" s="1"/>
    </row>
    <row r="35" spans="1:26" ht="12.75" x14ac:dyDescent="0.2">
      <c r="A35" s="66" t="s">
        <v>57</v>
      </c>
      <c r="B35" s="1" t="s">
        <v>83</v>
      </c>
      <c r="C35" s="55">
        <v>2</v>
      </c>
      <c r="D35" s="55">
        <v>3</v>
      </c>
      <c r="E35" s="55">
        <v>3</v>
      </c>
      <c r="F35" s="55">
        <v>0</v>
      </c>
      <c r="G35" s="55">
        <v>4</v>
      </c>
      <c r="H35" s="57">
        <v>6.69</v>
      </c>
      <c r="I35" s="55">
        <v>80</v>
      </c>
      <c r="J35" s="55">
        <v>75</v>
      </c>
      <c r="K35" s="91">
        <v>22500000</v>
      </c>
      <c r="L35" s="68">
        <v>36</v>
      </c>
      <c r="M35" s="1"/>
      <c r="N35" s="7"/>
      <c r="O35" s="7"/>
      <c r="P35" s="7"/>
      <c r="Q35" s="7"/>
      <c r="R35" s="7"/>
      <c r="S35" s="7"/>
      <c r="T35" s="1"/>
      <c r="U35" s="1"/>
      <c r="V35" s="1"/>
      <c r="W35" s="1"/>
      <c r="X35" s="1"/>
      <c r="Y35" s="1"/>
      <c r="Z35" s="1"/>
    </row>
    <row r="36" spans="1:26" ht="12.75" x14ac:dyDescent="0.2">
      <c r="A36" s="66" t="s">
        <v>57</v>
      </c>
      <c r="B36" s="56" t="s">
        <v>111</v>
      </c>
      <c r="C36" s="55">
        <v>1</v>
      </c>
      <c r="D36" s="55">
        <v>0</v>
      </c>
      <c r="E36" s="55">
        <v>2</v>
      </c>
      <c r="F36" s="55">
        <v>0</v>
      </c>
      <c r="G36" s="55">
        <v>5</v>
      </c>
      <c r="H36" s="57">
        <v>6.58</v>
      </c>
      <c r="I36" s="55">
        <v>79</v>
      </c>
      <c r="J36" s="55">
        <v>74</v>
      </c>
      <c r="K36" s="91">
        <v>68000000</v>
      </c>
      <c r="L36" s="68">
        <v>35</v>
      </c>
      <c r="M36" s="1"/>
      <c r="N36" s="7"/>
      <c r="O36" s="7"/>
      <c r="P36" s="7"/>
      <c r="Q36" s="7"/>
      <c r="R36" s="7"/>
      <c r="S36" s="7"/>
      <c r="T36" s="1"/>
      <c r="U36" s="1"/>
      <c r="V36" s="1"/>
      <c r="W36" s="1"/>
      <c r="X36" s="1"/>
      <c r="Y36" s="1"/>
      <c r="Z36" s="1"/>
    </row>
    <row r="37" spans="1:26" ht="12.75" x14ac:dyDescent="0.2">
      <c r="A37" s="66" t="s">
        <v>57</v>
      </c>
      <c r="B37" s="1" t="s">
        <v>26</v>
      </c>
      <c r="C37" s="55">
        <v>0</v>
      </c>
      <c r="D37" s="55">
        <v>1</v>
      </c>
      <c r="E37" s="55">
        <v>3</v>
      </c>
      <c r="F37" s="55">
        <v>0</v>
      </c>
      <c r="G37" s="55">
        <v>6</v>
      </c>
      <c r="H37" s="57">
        <v>6.48</v>
      </c>
      <c r="I37" s="55">
        <v>79</v>
      </c>
      <c r="J37" s="55">
        <v>75</v>
      </c>
      <c r="K37" s="91">
        <v>36000000</v>
      </c>
      <c r="L37" s="68">
        <v>32</v>
      </c>
      <c r="M37" s="1"/>
      <c r="N37" s="7"/>
      <c r="O37" s="7"/>
      <c r="P37" s="7"/>
      <c r="Q37" s="7"/>
      <c r="R37" s="7"/>
      <c r="S37" s="7"/>
      <c r="T37" s="1"/>
      <c r="U37" s="1"/>
      <c r="V37" s="1"/>
      <c r="W37" s="1"/>
      <c r="X37" s="1"/>
      <c r="Y37" s="1"/>
      <c r="Z37" s="1"/>
    </row>
    <row r="38" spans="1:26" ht="12.75" x14ac:dyDescent="0.2">
      <c r="A38" s="66" t="s">
        <v>57</v>
      </c>
      <c r="B38" s="1" t="s">
        <v>18</v>
      </c>
      <c r="C38" s="55">
        <v>0</v>
      </c>
      <c r="D38" s="55">
        <v>0</v>
      </c>
      <c r="E38" s="55">
        <v>1</v>
      </c>
      <c r="F38" s="55">
        <v>0</v>
      </c>
      <c r="G38" s="55">
        <v>3</v>
      </c>
      <c r="H38" s="57">
        <v>6.35</v>
      </c>
      <c r="I38" s="55">
        <v>75</v>
      </c>
      <c r="J38" s="55">
        <v>71</v>
      </c>
      <c r="K38" s="91">
        <v>10500000</v>
      </c>
      <c r="L38" s="68">
        <v>28</v>
      </c>
      <c r="M38" s="1"/>
      <c r="N38" s="7"/>
      <c r="O38" s="7"/>
      <c r="P38" s="7"/>
      <c r="Q38" s="7"/>
      <c r="R38" s="7"/>
      <c r="S38" s="7"/>
      <c r="T38" s="1"/>
      <c r="U38" s="1"/>
      <c r="V38" s="1"/>
      <c r="W38" s="1"/>
      <c r="X38" s="1"/>
      <c r="Y38" s="1"/>
      <c r="Z38" s="1"/>
    </row>
    <row r="39" spans="1:26" ht="12.75" x14ac:dyDescent="0.2">
      <c r="A39" s="66" t="s">
        <v>57</v>
      </c>
      <c r="B39" s="56" t="s">
        <v>74</v>
      </c>
      <c r="C39" s="55">
        <v>4</v>
      </c>
      <c r="D39" s="55">
        <v>2</v>
      </c>
      <c r="E39" s="55">
        <v>0</v>
      </c>
      <c r="F39" s="55">
        <v>0</v>
      </c>
      <c r="G39" s="55">
        <v>2</v>
      </c>
      <c r="H39" s="57">
        <v>6.57</v>
      </c>
      <c r="I39" s="55">
        <v>80</v>
      </c>
      <c r="J39" s="55">
        <v>79</v>
      </c>
      <c r="K39" s="91">
        <v>16500000</v>
      </c>
      <c r="L39" s="68">
        <v>19</v>
      </c>
      <c r="M39" s="1"/>
      <c r="N39" s="7"/>
      <c r="O39" s="7"/>
      <c r="P39" s="7"/>
      <c r="Q39" s="7"/>
      <c r="R39" s="7"/>
      <c r="S39" s="7"/>
      <c r="T39" s="1"/>
      <c r="U39" s="1"/>
      <c r="V39" s="1"/>
      <c r="W39" s="1"/>
      <c r="X39" s="1"/>
      <c r="Y39" s="1"/>
      <c r="Z39" s="1"/>
    </row>
    <row r="40" spans="1:26" ht="12.75" x14ac:dyDescent="0.2">
      <c r="A40" s="66" t="s">
        <v>57</v>
      </c>
      <c r="B40" s="56" t="s">
        <v>30</v>
      </c>
      <c r="C40" s="55">
        <v>0</v>
      </c>
      <c r="D40" s="55">
        <v>0</v>
      </c>
      <c r="E40" s="55">
        <v>0</v>
      </c>
      <c r="F40" s="55">
        <v>0</v>
      </c>
      <c r="G40" s="55">
        <v>2</v>
      </c>
      <c r="H40" s="57">
        <v>6.32</v>
      </c>
      <c r="I40" s="55">
        <v>75</v>
      </c>
      <c r="J40" s="55">
        <v>71</v>
      </c>
      <c r="K40" s="91">
        <v>7000000</v>
      </c>
      <c r="L40" s="68">
        <v>18</v>
      </c>
      <c r="M40" s="1"/>
      <c r="N40" s="7"/>
      <c r="O40" s="7"/>
      <c r="P40" s="7"/>
      <c r="Q40" s="7"/>
      <c r="R40" s="7"/>
      <c r="S40" s="7"/>
      <c r="T40" s="1"/>
      <c r="U40" s="1"/>
      <c r="V40" s="1"/>
      <c r="W40" s="1"/>
      <c r="X40" s="1"/>
      <c r="Y40" s="1"/>
      <c r="Z40" s="1"/>
    </row>
    <row r="41" spans="1:26" ht="12.75" x14ac:dyDescent="0.2">
      <c r="A41" s="66" t="s">
        <v>57</v>
      </c>
      <c r="B41" s="56" t="s">
        <v>112</v>
      </c>
      <c r="C41" s="55">
        <v>0</v>
      </c>
      <c r="D41" s="55">
        <v>0</v>
      </c>
      <c r="E41" s="55">
        <v>1</v>
      </c>
      <c r="F41" s="55">
        <v>0</v>
      </c>
      <c r="G41" s="55">
        <v>2</v>
      </c>
      <c r="H41" s="57">
        <v>6.34</v>
      </c>
      <c r="I41" s="55">
        <v>74</v>
      </c>
      <c r="J41" s="55">
        <v>73</v>
      </c>
      <c r="K41" s="91">
        <v>8500000</v>
      </c>
      <c r="L41" s="68">
        <v>17</v>
      </c>
      <c r="M41" s="1"/>
      <c r="N41" s="7"/>
      <c r="O41" s="7"/>
      <c r="P41" s="7"/>
      <c r="Q41" s="7"/>
      <c r="R41" s="7"/>
      <c r="S41" s="7"/>
      <c r="T41" s="1"/>
      <c r="U41" s="1"/>
      <c r="V41" s="1"/>
      <c r="W41" s="1"/>
      <c r="X41" s="1"/>
      <c r="Y41" s="1"/>
      <c r="Z41" s="1"/>
    </row>
    <row r="42" spans="1:26" ht="12.75" x14ac:dyDescent="0.2">
      <c r="A42" s="69" t="s">
        <v>57</v>
      </c>
      <c r="B42" s="56" t="s">
        <v>113</v>
      </c>
      <c r="C42" s="55">
        <v>2</v>
      </c>
      <c r="D42" s="55">
        <v>1</v>
      </c>
      <c r="E42" s="55">
        <v>0</v>
      </c>
      <c r="F42" s="55">
        <v>0</v>
      </c>
      <c r="G42" s="55">
        <v>2</v>
      </c>
      <c r="H42" s="57">
        <v>6.48</v>
      </c>
      <c r="I42" s="55">
        <v>78</v>
      </c>
      <c r="J42" s="55">
        <v>80</v>
      </c>
      <c r="K42" s="91">
        <v>10500000</v>
      </c>
      <c r="L42" s="68">
        <v>13</v>
      </c>
      <c r="M42" s="1"/>
      <c r="N42" s="7"/>
      <c r="O42" s="7"/>
      <c r="P42" s="7"/>
      <c r="Q42" s="7"/>
      <c r="R42" s="7"/>
      <c r="S42" s="7"/>
      <c r="T42" s="1"/>
      <c r="U42" s="1"/>
      <c r="V42" s="1"/>
      <c r="W42" s="1"/>
      <c r="X42" s="1"/>
      <c r="Y42" s="1"/>
      <c r="Z42" s="1"/>
    </row>
    <row r="43" spans="1:26" ht="12.75" x14ac:dyDescent="0.2">
      <c r="A43" s="69" t="s">
        <v>57</v>
      </c>
      <c r="B43" s="1" t="s">
        <v>123</v>
      </c>
      <c r="C43" s="55">
        <v>0</v>
      </c>
      <c r="D43" s="55">
        <v>0</v>
      </c>
      <c r="E43" s="55">
        <v>0</v>
      </c>
      <c r="F43" s="55">
        <v>0</v>
      </c>
      <c r="G43" s="55">
        <v>2</v>
      </c>
      <c r="H43" s="57">
        <v>6.62</v>
      </c>
      <c r="I43" s="55">
        <v>76</v>
      </c>
      <c r="J43" s="55">
        <v>73</v>
      </c>
      <c r="K43" s="91">
        <v>9000000</v>
      </c>
      <c r="L43" s="68">
        <v>12</v>
      </c>
      <c r="M43" s="1"/>
      <c r="N43" s="7"/>
      <c r="O43" s="7"/>
      <c r="P43" s="7"/>
      <c r="Q43" s="7"/>
      <c r="R43" s="7"/>
      <c r="S43" s="7"/>
      <c r="T43" s="1"/>
      <c r="U43" s="1"/>
      <c r="V43" s="1"/>
      <c r="W43" s="1"/>
      <c r="X43" s="1"/>
      <c r="Y43" s="1"/>
      <c r="Z43" s="1"/>
    </row>
    <row r="44" spans="1:26" ht="12.75" x14ac:dyDescent="0.2">
      <c r="A44" s="69" t="s">
        <v>57</v>
      </c>
      <c r="B44" s="1" t="s">
        <v>77</v>
      </c>
      <c r="C44" s="55">
        <v>0</v>
      </c>
      <c r="D44" s="55">
        <v>0</v>
      </c>
      <c r="E44" s="55">
        <v>0</v>
      </c>
      <c r="F44" s="55">
        <v>0</v>
      </c>
      <c r="G44" s="55">
        <v>2</v>
      </c>
      <c r="H44" s="57">
        <v>6.23</v>
      </c>
      <c r="I44" s="55">
        <v>72</v>
      </c>
      <c r="J44" s="55">
        <v>71</v>
      </c>
      <c r="K44" s="91">
        <v>1500000</v>
      </c>
      <c r="L44" s="68">
        <v>10</v>
      </c>
      <c r="M44" s="1"/>
      <c r="N44" s="7"/>
      <c r="O44" s="7"/>
      <c r="P44" s="7"/>
      <c r="Q44" s="7"/>
      <c r="R44" s="7"/>
      <c r="S44" s="7"/>
      <c r="T44" s="1"/>
      <c r="U44" s="1"/>
      <c r="V44" s="1"/>
      <c r="W44" s="1"/>
      <c r="X44" s="1"/>
      <c r="Y44" s="1"/>
      <c r="Z44" s="1"/>
    </row>
    <row r="45" spans="1:26" ht="12.75" x14ac:dyDescent="0.2">
      <c r="A45" s="69" t="s">
        <v>57</v>
      </c>
      <c r="B45" s="1" t="s">
        <v>122</v>
      </c>
      <c r="C45" s="55">
        <v>0</v>
      </c>
      <c r="D45" s="55">
        <v>0</v>
      </c>
      <c r="E45" s="55">
        <v>0</v>
      </c>
      <c r="F45" s="55">
        <v>0</v>
      </c>
      <c r="G45" s="55">
        <v>2</v>
      </c>
      <c r="H45" s="57">
        <v>6</v>
      </c>
      <c r="I45" s="55">
        <v>71</v>
      </c>
      <c r="J45" s="55">
        <v>69</v>
      </c>
      <c r="K45" s="91">
        <v>1800000</v>
      </c>
      <c r="L45" s="68">
        <v>9</v>
      </c>
      <c r="M45" s="1"/>
      <c r="N45" s="7"/>
      <c r="O45" s="7"/>
      <c r="P45" s="7"/>
      <c r="Q45" s="7"/>
      <c r="R45" s="7"/>
      <c r="S45" s="7"/>
      <c r="T45" s="1"/>
      <c r="U45" s="1"/>
      <c r="V45" s="1"/>
      <c r="W45" s="1"/>
      <c r="X45" s="1"/>
      <c r="Y45" s="1"/>
      <c r="Z45" s="1"/>
    </row>
    <row r="46" spans="1:26" ht="12.75" x14ac:dyDescent="0.2">
      <c r="A46" s="69" t="s">
        <v>57</v>
      </c>
      <c r="B46" s="56" t="s">
        <v>114</v>
      </c>
      <c r="C46" s="55">
        <v>0</v>
      </c>
      <c r="D46" s="55">
        <v>0</v>
      </c>
      <c r="E46" s="55">
        <v>0</v>
      </c>
      <c r="F46" s="55">
        <v>0</v>
      </c>
      <c r="G46" s="55">
        <v>2</v>
      </c>
      <c r="H46" s="57">
        <v>6.63</v>
      </c>
      <c r="I46" s="55">
        <v>68</v>
      </c>
      <c r="J46" s="55">
        <v>65</v>
      </c>
      <c r="K46" s="91">
        <v>4600000</v>
      </c>
      <c r="L46" s="68">
        <v>6</v>
      </c>
      <c r="M46" s="1"/>
      <c r="N46" s="7"/>
      <c r="O46" s="7"/>
      <c r="P46" s="7"/>
      <c r="Q46" s="7"/>
      <c r="R46" s="7"/>
      <c r="S46" s="7"/>
      <c r="T46" s="1"/>
      <c r="U46" s="1"/>
      <c r="V46" s="1"/>
      <c r="W46" s="1"/>
      <c r="X46" s="1"/>
      <c r="Y46" s="1"/>
      <c r="Z46" s="1"/>
    </row>
    <row r="47" spans="1:26" ht="12.75" x14ac:dyDescent="0.2">
      <c r="A47" s="69" t="s">
        <v>57</v>
      </c>
      <c r="B47" s="56" t="s">
        <v>115</v>
      </c>
      <c r="C47" s="55">
        <v>1</v>
      </c>
      <c r="D47" s="55">
        <v>0</v>
      </c>
      <c r="E47" s="55">
        <v>0</v>
      </c>
      <c r="F47" s="55">
        <v>0</v>
      </c>
      <c r="G47" s="55">
        <v>1</v>
      </c>
      <c r="H47" s="57">
        <v>6.07</v>
      </c>
      <c r="I47" s="55">
        <v>68</v>
      </c>
      <c r="J47" s="55">
        <v>68</v>
      </c>
      <c r="K47" s="91">
        <v>3800000</v>
      </c>
      <c r="L47" s="68">
        <v>6</v>
      </c>
      <c r="M47" s="1"/>
      <c r="N47" s="7"/>
      <c r="O47" s="7"/>
      <c r="P47" s="7"/>
      <c r="Q47" s="7"/>
      <c r="R47" s="7"/>
      <c r="S47" s="7"/>
      <c r="T47" s="1"/>
      <c r="U47" s="1"/>
      <c r="V47" s="1"/>
      <c r="W47" s="1"/>
      <c r="X47" s="1"/>
      <c r="Y47" s="1"/>
      <c r="Z47" s="1"/>
    </row>
    <row r="48" spans="1:26" ht="12.75" x14ac:dyDescent="0.2">
      <c r="A48" s="69" t="s">
        <v>107</v>
      </c>
      <c r="B48" s="34" t="s">
        <v>110</v>
      </c>
      <c r="C48" s="33">
        <v>0</v>
      </c>
      <c r="D48" s="33">
        <v>0</v>
      </c>
      <c r="E48" s="33">
        <v>0</v>
      </c>
      <c r="F48" s="33">
        <v>0</v>
      </c>
      <c r="G48" s="33">
        <v>7</v>
      </c>
      <c r="H48" s="88">
        <v>6.51</v>
      </c>
      <c r="I48" s="33">
        <v>83</v>
      </c>
      <c r="J48" s="33">
        <v>78</v>
      </c>
      <c r="K48" s="92" t="s">
        <v>147</v>
      </c>
      <c r="L48" s="70">
        <v>50</v>
      </c>
      <c r="M48" s="1"/>
      <c r="N48" s="7"/>
      <c r="O48" s="7"/>
      <c r="P48" s="7"/>
      <c r="Q48" s="7"/>
      <c r="R48" s="7"/>
      <c r="S48" s="7"/>
      <c r="T48" s="1"/>
      <c r="U48" s="1"/>
      <c r="V48" s="1"/>
      <c r="W48" s="1"/>
      <c r="X48" s="1"/>
      <c r="Y48" s="1"/>
      <c r="Z48" s="1"/>
    </row>
    <row r="49" spans="1:26" ht="12.75" x14ac:dyDescent="0.2">
      <c r="A49" s="69" t="s">
        <v>107</v>
      </c>
      <c r="B49" s="34" t="s">
        <v>102</v>
      </c>
      <c r="C49" s="33">
        <v>30</v>
      </c>
      <c r="D49" s="33">
        <v>13</v>
      </c>
      <c r="E49" s="33">
        <v>2</v>
      </c>
      <c r="F49" s="33">
        <v>0</v>
      </c>
      <c r="G49" s="33">
        <v>8</v>
      </c>
      <c r="H49" s="88">
        <v>7.09</v>
      </c>
      <c r="I49" s="33">
        <v>91</v>
      </c>
      <c r="J49" s="33">
        <v>86</v>
      </c>
      <c r="K49" s="92" t="s">
        <v>148</v>
      </c>
      <c r="L49" s="70">
        <v>46</v>
      </c>
      <c r="M49" s="1"/>
      <c r="N49" s="7"/>
      <c r="O49" s="7"/>
      <c r="P49" s="7"/>
      <c r="Q49" s="7"/>
      <c r="R49" s="7"/>
      <c r="S49" s="7"/>
      <c r="T49" s="1"/>
      <c r="U49" s="1"/>
      <c r="V49" s="1"/>
      <c r="W49" s="1"/>
      <c r="X49" s="1"/>
      <c r="Y49" s="1"/>
      <c r="Z49" s="1"/>
    </row>
    <row r="50" spans="1:26" ht="12.75" x14ac:dyDescent="0.2">
      <c r="A50" s="69" t="s">
        <v>107</v>
      </c>
      <c r="B50" s="34" t="s">
        <v>103</v>
      </c>
      <c r="C50" s="33">
        <v>19</v>
      </c>
      <c r="D50" s="33">
        <v>15</v>
      </c>
      <c r="E50" s="33">
        <v>2</v>
      </c>
      <c r="F50" s="33">
        <v>0</v>
      </c>
      <c r="G50" s="33">
        <v>6</v>
      </c>
      <c r="H50" s="88">
        <v>6.91</v>
      </c>
      <c r="I50" s="33">
        <v>82</v>
      </c>
      <c r="J50" s="33">
        <v>80</v>
      </c>
      <c r="K50" s="92" t="s">
        <v>149</v>
      </c>
      <c r="L50" s="70">
        <v>45</v>
      </c>
      <c r="M50" s="1"/>
      <c r="N50" s="7"/>
      <c r="O50" s="7"/>
      <c r="P50" s="7"/>
      <c r="Q50" s="7"/>
      <c r="R50" s="7"/>
      <c r="S50" s="7"/>
      <c r="T50" s="1"/>
      <c r="U50" s="1"/>
      <c r="V50" s="1"/>
      <c r="W50" s="1"/>
      <c r="X50" s="1"/>
      <c r="Y50" s="1"/>
      <c r="Z50" s="1"/>
    </row>
    <row r="51" spans="1:26" ht="12.75" x14ac:dyDescent="0.2">
      <c r="A51" s="69" t="s">
        <v>107</v>
      </c>
      <c r="B51" s="34" t="s">
        <v>142</v>
      </c>
      <c r="C51" s="33">
        <v>3</v>
      </c>
      <c r="D51" s="33">
        <v>3</v>
      </c>
      <c r="E51" s="33">
        <v>6</v>
      </c>
      <c r="F51" s="33">
        <v>0</v>
      </c>
      <c r="G51" s="33">
        <v>11</v>
      </c>
      <c r="H51" s="88">
        <v>6.37</v>
      </c>
      <c r="I51" s="33">
        <v>86</v>
      </c>
      <c r="J51" s="33">
        <v>86</v>
      </c>
      <c r="K51" s="92" t="s">
        <v>150</v>
      </c>
      <c r="L51" s="70">
        <v>44</v>
      </c>
      <c r="M51" s="1"/>
      <c r="N51" s="7"/>
      <c r="O51" s="7"/>
      <c r="P51" s="7"/>
      <c r="Q51" s="7"/>
      <c r="R51" s="7"/>
      <c r="S51" s="7"/>
      <c r="T51" s="1"/>
      <c r="U51" s="1"/>
      <c r="V51" s="1"/>
      <c r="W51" s="1"/>
      <c r="X51" s="1"/>
      <c r="Y51" s="1"/>
      <c r="Z51" s="1"/>
    </row>
    <row r="52" spans="1:26" ht="12.75" x14ac:dyDescent="0.2">
      <c r="A52" s="69" t="s">
        <v>107</v>
      </c>
      <c r="B52" s="34" t="s">
        <v>111</v>
      </c>
      <c r="C52" s="33">
        <v>0</v>
      </c>
      <c r="D52" s="33">
        <v>1</v>
      </c>
      <c r="E52" s="33">
        <v>1</v>
      </c>
      <c r="F52" s="33">
        <v>1</v>
      </c>
      <c r="G52" s="33">
        <v>6</v>
      </c>
      <c r="H52" s="88">
        <v>6.61</v>
      </c>
      <c r="I52" s="33">
        <v>84</v>
      </c>
      <c r="J52" s="33">
        <v>79</v>
      </c>
      <c r="K52" s="92" t="s">
        <v>151</v>
      </c>
      <c r="L52" s="70">
        <v>43</v>
      </c>
      <c r="M52" s="1"/>
      <c r="N52" s="7"/>
      <c r="O52" s="7"/>
      <c r="P52" s="7"/>
      <c r="Q52" s="7"/>
      <c r="R52" s="7"/>
      <c r="S52" s="7"/>
      <c r="T52" s="1"/>
      <c r="U52" s="1"/>
      <c r="V52" s="1"/>
      <c r="W52" s="1"/>
      <c r="X52" s="1"/>
      <c r="Y52" s="1"/>
      <c r="Z52" s="1"/>
    </row>
    <row r="53" spans="1:26" ht="12.75" x14ac:dyDescent="0.2">
      <c r="A53" s="69" t="s">
        <v>107</v>
      </c>
      <c r="B53" s="34" t="s">
        <v>115</v>
      </c>
      <c r="C53" s="33">
        <v>12</v>
      </c>
      <c r="D53" s="33">
        <v>11</v>
      </c>
      <c r="E53" s="33">
        <v>0</v>
      </c>
      <c r="F53" s="33">
        <v>0</v>
      </c>
      <c r="G53" s="33">
        <v>6</v>
      </c>
      <c r="H53" s="88">
        <v>6.35</v>
      </c>
      <c r="I53" s="33">
        <v>73</v>
      </c>
      <c r="J53" s="33">
        <v>69</v>
      </c>
      <c r="K53" s="92" t="s">
        <v>152</v>
      </c>
      <c r="L53" s="70">
        <v>43</v>
      </c>
      <c r="M53" s="1"/>
      <c r="N53" s="7"/>
      <c r="O53" s="7"/>
      <c r="P53" s="7"/>
      <c r="Q53" s="7"/>
      <c r="R53" s="7"/>
      <c r="S53" s="7"/>
      <c r="T53" s="1"/>
      <c r="U53" s="1"/>
      <c r="V53" s="1"/>
      <c r="W53" s="1"/>
      <c r="X53" s="1"/>
      <c r="Y53" s="1"/>
      <c r="Z53" s="1"/>
    </row>
    <row r="54" spans="1:26" ht="12.75" x14ac:dyDescent="0.2">
      <c r="A54" s="69" t="s">
        <v>107</v>
      </c>
      <c r="B54" s="34" t="s">
        <v>58</v>
      </c>
      <c r="C54" s="33">
        <v>6</v>
      </c>
      <c r="D54" s="33">
        <v>7</v>
      </c>
      <c r="E54" s="33">
        <v>3</v>
      </c>
      <c r="F54" s="33">
        <v>0</v>
      </c>
      <c r="G54" s="33">
        <v>4</v>
      </c>
      <c r="H54" s="88">
        <v>6.23</v>
      </c>
      <c r="I54" s="33">
        <v>80</v>
      </c>
      <c r="J54" s="33">
        <v>79</v>
      </c>
      <c r="K54" s="92" t="s">
        <v>153</v>
      </c>
      <c r="L54" s="70">
        <v>42</v>
      </c>
      <c r="M54" s="1"/>
      <c r="N54" s="7"/>
      <c r="O54" s="7"/>
      <c r="P54" s="7"/>
      <c r="Q54" s="7"/>
      <c r="R54" s="7"/>
      <c r="S54" s="7"/>
      <c r="T54" s="1"/>
      <c r="U54" s="1"/>
      <c r="V54" s="1"/>
      <c r="W54" s="1"/>
      <c r="X54" s="1"/>
      <c r="Y54" s="1"/>
      <c r="Z54" s="1"/>
    </row>
    <row r="55" spans="1:26" ht="12.75" x14ac:dyDescent="0.2">
      <c r="A55" s="69" t="s">
        <v>107</v>
      </c>
      <c r="B55" s="34" t="s">
        <v>119</v>
      </c>
      <c r="C55" s="33">
        <v>4</v>
      </c>
      <c r="D55" s="33">
        <v>6</v>
      </c>
      <c r="E55" s="33">
        <v>2</v>
      </c>
      <c r="F55" s="33">
        <v>2</v>
      </c>
      <c r="G55" s="33">
        <v>7</v>
      </c>
      <c r="H55" s="88">
        <v>6.52</v>
      </c>
      <c r="I55" s="33">
        <v>85</v>
      </c>
      <c r="J55" s="33">
        <v>82</v>
      </c>
      <c r="K55" s="92" t="s">
        <v>154</v>
      </c>
      <c r="L55" s="70">
        <v>41</v>
      </c>
      <c r="M55" s="1"/>
      <c r="N55" s="7"/>
      <c r="O55" s="7"/>
      <c r="P55" s="7"/>
      <c r="Q55" s="7"/>
      <c r="R55" s="7"/>
      <c r="S55" s="7"/>
      <c r="T55" s="1"/>
      <c r="U55" s="1"/>
      <c r="V55" s="1"/>
      <c r="W55" s="1"/>
      <c r="X55" s="1"/>
      <c r="Y55" s="1"/>
      <c r="Z55" s="1"/>
    </row>
    <row r="56" spans="1:26" ht="12.75" x14ac:dyDescent="0.2">
      <c r="A56" s="69" t="s">
        <v>107</v>
      </c>
      <c r="B56" s="34" t="s">
        <v>141</v>
      </c>
      <c r="C56" s="33">
        <v>6</v>
      </c>
      <c r="D56" s="33">
        <v>6</v>
      </c>
      <c r="E56" s="33">
        <v>1</v>
      </c>
      <c r="F56" s="33">
        <v>0</v>
      </c>
      <c r="G56" s="33">
        <v>6</v>
      </c>
      <c r="H56" s="88">
        <v>6.38</v>
      </c>
      <c r="I56" s="33">
        <v>82</v>
      </c>
      <c r="J56" s="33">
        <v>80</v>
      </c>
      <c r="K56" s="92" t="s">
        <v>155</v>
      </c>
      <c r="L56" s="70">
        <v>41</v>
      </c>
      <c r="M56" s="1"/>
      <c r="N56" s="7"/>
      <c r="O56" s="7"/>
      <c r="P56" s="7"/>
      <c r="Q56" s="7"/>
      <c r="R56" s="7"/>
      <c r="S56" s="7"/>
      <c r="T56" s="1"/>
      <c r="U56" s="1"/>
      <c r="V56" s="1"/>
      <c r="W56" s="1"/>
      <c r="X56" s="1"/>
      <c r="Y56" s="1"/>
      <c r="Z56" s="1"/>
    </row>
    <row r="57" spans="1:26" ht="12.75" x14ac:dyDescent="0.2">
      <c r="A57" s="69" t="s">
        <v>107</v>
      </c>
      <c r="B57" s="34" t="s">
        <v>26</v>
      </c>
      <c r="C57" s="33">
        <v>2</v>
      </c>
      <c r="D57" s="33">
        <v>0</v>
      </c>
      <c r="E57" s="33">
        <v>3</v>
      </c>
      <c r="F57" s="33">
        <v>0</v>
      </c>
      <c r="G57" s="33">
        <v>8</v>
      </c>
      <c r="H57" s="88">
        <v>6.53</v>
      </c>
      <c r="I57" s="33">
        <v>83</v>
      </c>
      <c r="J57" s="33">
        <v>80</v>
      </c>
      <c r="K57" s="92" t="s">
        <v>156</v>
      </c>
      <c r="L57" s="70">
        <v>39</v>
      </c>
      <c r="M57" s="1"/>
      <c r="N57" s="7"/>
      <c r="O57" s="7"/>
      <c r="P57" s="7"/>
      <c r="Q57" s="7"/>
      <c r="R57" s="7"/>
      <c r="S57" s="7"/>
      <c r="T57" s="1"/>
      <c r="U57" s="1"/>
      <c r="V57" s="1"/>
      <c r="W57" s="1"/>
      <c r="X57" s="1"/>
      <c r="Y57" s="1"/>
      <c r="Z57" s="1"/>
    </row>
    <row r="58" spans="1:26" ht="12.75" x14ac:dyDescent="0.2">
      <c r="A58" s="69" t="s">
        <v>107</v>
      </c>
      <c r="B58" s="34" t="s">
        <v>83</v>
      </c>
      <c r="C58" s="33">
        <v>2</v>
      </c>
      <c r="D58" s="33">
        <v>5</v>
      </c>
      <c r="E58" s="33">
        <v>2</v>
      </c>
      <c r="F58" s="33">
        <v>0</v>
      </c>
      <c r="G58" s="33">
        <v>5</v>
      </c>
      <c r="H58" s="88">
        <v>6.88</v>
      </c>
      <c r="I58" s="33">
        <v>81</v>
      </c>
      <c r="J58" s="33">
        <v>80</v>
      </c>
      <c r="K58" s="92" t="s">
        <v>157</v>
      </c>
      <c r="L58" s="70">
        <v>38</v>
      </c>
      <c r="M58" s="1"/>
      <c r="N58" s="7"/>
      <c r="O58" s="7"/>
      <c r="P58" s="7"/>
      <c r="Q58" s="7"/>
      <c r="R58" s="7"/>
      <c r="S58" s="7"/>
      <c r="T58" s="1"/>
      <c r="U58" s="1"/>
      <c r="V58" s="1"/>
      <c r="W58" s="1"/>
      <c r="X58" s="1"/>
      <c r="Y58" s="1"/>
      <c r="Z58" s="1"/>
    </row>
    <row r="59" spans="1:26" ht="12.75" x14ac:dyDescent="0.2">
      <c r="A59" s="69" t="s">
        <v>107</v>
      </c>
      <c r="B59" s="34" t="s">
        <v>112</v>
      </c>
      <c r="C59" s="33">
        <v>0</v>
      </c>
      <c r="D59" s="33">
        <v>0</v>
      </c>
      <c r="E59" s="33">
        <v>2</v>
      </c>
      <c r="F59" s="33">
        <v>0</v>
      </c>
      <c r="G59" s="33">
        <v>7</v>
      </c>
      <c r="H59" s="88">
        <v>6.44</v>
      </c>
      <c r="I59" s="33">
        <v>78</v>
      </c>
      <c r="J59" s="33">
        <v>74</v>
      </c>
      <c r="K59" s="92" t="s">
        <v>158</v>
      </c>
      <c r="L59" s="70">
        <v>36</v>
      </c>
      <c r="M59" s="1"/>
      <c r="N59" s="7"/>
      <c r="O59" s="7"/>
      <c r="P59" s="7"/>
      <c r="Q59" s="7"/>
      <c r="R59" s="7"/>
      <c r="S59" s="7"/>
      <c r="T59" s="1"/>
      <c r="U59" s="1"/>
      <c r="V59" s="1"/>
      <c r="W59" s="1"/>
      <c r="X59" s="1"/>
      <c r="Y59" s="1"/>
      <c r="Z59" s="1"/>
    </row>
    <row r="60" spans="1:26" ht="12.75" x14ac:dyDescent="0.2">
      <c r="A60" s="69" t="s">
        <v>107</v>
      </c>
      <c r="B60" s="34" t="s">
        <v>104</v>
      </c>
      <c r="C60" s="33">
        <v>17</v>
      </c>
      <c r="D60" s="33">
        <v>7</v>
      </c>
      <c r="E60" s="33">
        <v>0</v>
      </c>
      <c r="F60" s="33">
        <v>0</v>
      </c>
      <c r="G60" s="33">
        <v>3</v>
      </c>
      <c r="H60" s="88">
        <v>6.73</v>
      </c>
      <c r="I60" s="33">
        <v>81</v>
      </c>
      <c r="J60" s="33">
        <v>78</v>
      </c>
      <c r="K60" s="92" t="s">
        <v>159</v>
      </c>
      <c r="L60" s="70">
        <v>35</v>
      </c>
      <c r="M60" s="1"/>
      <c r="N60" s="7"/>
      <c r="O60" s="7"/>
      <c r="P60" s="7"/>
      <c r="Q60" s="7"/>
      <c r="R60" s="7"/>
      <c r="S60" s="7"/>
      <c r="T60" s="1"/>
      <c r="U60" s="1"/>
      <c r="V60" s="1"/>
      <c r="W60" s="1"/>
      <c r="X60" s="1"/>
      <c r="Y60" s="1"/>
      <c r="Z60" s="1"/>
    </row>
    <row r="61" spans="1:26" ht="12.75" x14ac:dyDescent="0.2">
      <c r="A61" s="69" t="s">
        <v>107</v>
      </c>
      <c r="B61" s="34" t="s">
        <v>136</v>
      </c>
      <c r="C61" s="33">
        <v>2</v>
      </c>
      <c r="D61" s="33">
        <v>6</v>
      </c>
      <c r="E61" s="33">
        <v>1</v>
      </c>
      <c r="F61" s="33">
        <v>0</v>
      </c>
      <c r="G61" s="33">
        <v>3</v>
      </c>
      <c r="H61" s="88">
        <v>6.35</v>
      </c>
      <c r="I61" s="33">
        <v>81</v>
      </c>
      <c r="J61" s="33">
        <v>80</v>
      </c>
      <c r="K61" s="92" t="s">
        <v>160</v>
      </c>
      <c r="L61" s="70">
        <v>35</v>
      </c>
      <c r="M61" s="1"/>
      <c r="N61" s="7"/>
      <c r="O61" s="7"/>
      <c r="P61" s="7"/>
      <c r="Q61" s="7"/>
      <c r="R61" s="7"/>
      <c r="S61" s="7"/>
      <c r="T61" s="1"/>
      <c r="U61" s="1"/>
      <c r="V61" s="1"/>
      <c r="W61" s="1"/>
      <c r="X61" s="1"/>
      <c r="Y61" s="1"/>
      <c r="Z61" s="1"/>
    </row>
    <row r="62" spans="1:26" ht="12.75" x14ac:dyDescent="0.2">
      <c r="A62" s="69" t="s">
        <v>107</v>
      </c>
      <c r="B62" s="34" t="s">
        <v>137</v>
      </c>
      <c r="C62" s="33">
        <v>3</v>
      </c>
      <c r="D62" s="33">
        <v>3</v>
      </c>
      <c r="E62" s="33">
        <v>0</v>
      </c>
      <c r="F62" s="33">
        <v>0</v>
      </c>
      <c r="G62" s="33">
        <v>3</v>
      </c>
      <c r="H62" s="88">
        <v>6.89</v>
      </c>
      <c r="I62" s="33">
        <v>84</v>
      </c>
      <c r="J62" s="33">
        <v>81</v>
      </c>
      <c r="K62" s="92" t="s">
        <v>161</v>
      </c>
      <c r="L62" s="70">
        <v>33</v>
      </c>
      <c r="M62" s="1"/>
      <c r="N62" s="7"/>
      <c r="O62" s="7"/>
      <c r="P62" s="7"/>
      <c r="Q62" s="7"/>
      <c r="R62" s="7"/>
      <c r="S62" s="7"/>
      <c r="T62" s="1"/>
      <c r="U62" s="1"/>
      <c r="V62" s="1"/>
      <c r="W62" s="1"/>
      <c r="X62" s="1"/>
      <c r="Y62" s="1"/>
      <c r="Z62" s="1"/>
    </row>
    <row r="63" spans="1:26" ht="12.75" x14ac:dyDescent="0.2">
      <c r="A63" s="69" t="s">
        <v>107</v>
      </c>
      <c r="B63" s="34" t="s">
        <v>30</v>
      </c>
      <c r="C63" s="33">
        <v>0</v>
      </c>
      <c r="D63" s="33">
        <v>4</v>
      </c>
      <c r="E63" s="33">
        <v>2</v>
      </c>
      <c r="F63" s="33">
        <v>0</v>
      </c>
      <c r="G63" s="33">
        <v>5</v>
      </c>
      <c r="H63" s="88">
        <v>6.91</v>
      </c>
      <c r="I63" s="33">
        <v>76</v>
      </c>
      <c r="J63" s="33">
        <v>75</v>
      </c>
      <c r="K63" s="92" t="s">
        <v>162</v>
      </c>
      <c r="L63" s="70">
        <v>28</v>
      </c>
      <c r="M63" s="1"/>
      <c r="N63" s="7"/>
      <c r="O63" s="7"/>
      <c r="P63" s="7"/>
      <c r="Q63" s="7"/>
      <c r="R63" s="7"/>
      <c r="S63" s="7"/>
      <c r="T63" s="1"/>
      <c r="U63" s="1"/>
      <c r="V63" s="1"/>
      <c r="W63" s="1"/>
      <c r="X63" s="1"/>
      <c r="Y63" s="1"/>
      <c r="Z63" s="1"/>
    </row>
    <row r="64" spans="1:26" ht="12.75" x14ac:dyDescent="0.2">
      <c r="A64" s="69" t="s">
        <v>107</v>
      </c>
      <c r="B64" s="34" t="s">
        <v>124</v>
      </c>
      <c r="C64" s="33">
        <v>2</v>
      </c>
      <c r="D64" s="33">
        <v>4</v>
      </c>
      <c r="E64" s="33">
        <v>0</v>
      </c>
      <c r="F64" s="33">
        <v>0</v>
      </c>
      <c r="G64" s="33">
        <v>1</v>
      </c>
      <c r="H64" s="88">
        <v>6.05</v>
      </c>
      <c r="I64" s="33">
        <v>82</v>
      </c>
      <c r="J64" s="33">
        <v>78</v>
      </c>
      <c r="K64" s="92" t="s">
        <v>163</v>
      </c>
      <c r="L64" s="70">
        <v>28</v>
      </c>
      <c r="M64" s="1"/>
      <c r="N64" s="7"/>
      <c r="O64" s="7"/>
      <c r="P64" s="7"/>
      <c r="Q64" s="7"/>
      <c r="R64" s="7"/>
      <c r="S64" s="7"/>
      <c r="T64" s="1"/>
      <c r="U64" s="1"/>
      <c r="V64" s="1"/>
      <c r="W64" s="1"/>
      <c r="X64" s="1"/>
      <c r="Y64" s="1"/>
      <c r="Z64" s="1"/>
    </row>
    <row r="65" spans="1:26" ht="12.75" x14ac:dyDescent="0.2">
      <c r="A65" s="69" t="s">
        <v>107</v>
      </c>
      <c r="B65" s="34" t="s">
        <v>164</v>
      </c>
      <c r="C65" s="33">
        <v>0</v>
      </c>
      <c r="D65" s="33">
        <v>2</v>
      </c>
      <c r="E65" s="33">
        <v>1</v>
      </c>
      <c r="F65" s="33">
        <v>0</v>
      </c>
      <c r="G65" s="33">
        <v>2</v>
      </c>
      <c r="H65" s="88">
        <v>6.43</v>
      </c>
      <c r="I65" s="33">
        <v>77</v>
      </c>
      <c r="J65" s="33">
        <v>73</v>
      </c>
      <c r="K65" s="92" t="s">
        <v>165</v>
      </c>
      <c r="L65" s="70">
        <v>26</v>
      </c>
      <c r="M65" s="1"/>
      <c r="N65" s="7"/>
      <c r="O65" s="7"/>
      <c r="P65" s="7"/>
      <c r="Q65" s="7"/>
      <c r="R65" s="7"/>
      <c r="S65" s="7"/>
      <c r="T65" s="1"/>
      <c r="U65" s="1"/>
      <c r="V65" s="1"/>
      <c r="W65" s="1"/>
      <c r="X65" s="1"/>
      <c r="Y65" s="1"/>
      <c r="Z65" s="1"/>
    </row>
    <row r="66" spans="1:26" ht="12.75" x14ac:dyDescent="0.2">
      <c r="A66" s="69" t="s">
        <v>107</v>
      </c>
      <c r="B66" s="58" t="s">
        <v>123</v>
      </c>
      <c r="C66" s="59">
        <v>1</v>
      </c>
      <c r="D66" s="59">
        <v>2</v>
      </c>
      <c r="E66" s="59">
        <v>0</v>
      </c>
      <c r="F66" s="59">
        <v>0</v>
      </c>
      <c r="G66" s="59">
        <v>4</v>
      </c>
      <c r="H66" s="60">
        <v>6.67</v>
      </c>
      <c r="I66" s="59">
        <v>77</v>
      </c>
      <c r="J66" s="59">
        <v>76</v>
      </c>
      <c r="K66" s="93" t="s">
        <v>167</v>
      </c>
      <c r="L66" s="71">
        <v>26</v>
      </c>
      <c r="M66" s="1"/>
      <c r="N66" s="7"/>
      <c r="O66" s="7"/>
      <c r="P66" s="7"/>
      <c r="Q66" s="7"/>
      <c r="R66" s="7"/>
      <c r="S66" s="7"/>
      <c r="T66" s="1"/>
      <c r="U66" s="1"/>
      <c r="V66" s="1"/>
      <c r="W66" s="1"/>
      <c r="X66" s="1"/>
      <c r="Y66" s="1"/>
      <c r="Z66" s="1"/>
    </row>
    <row r="67" spans="1:26" ht="12.75" x14ac:dyDescent="0.2">
      <c r="A67" s="69" t="s">
        <v>107</v>
      </c>
      <c r="B67" s="58" t="s">
        <v>18</v>
      </c>
      <c r="C67" s="59">
        <v>0</v>
      </c>
      <c r="D67" s="59">
        <v>2</v>
      </c>
      <c r="E67" s="59">
        <v>4</v>
      </c>
      <c r="F67" s="59">
        <v>0</v>
      </c>
      <c r="G67" s="59">
        <v>2</v>
      </c>
      <c r="H67" s="60">
        <v>6.39</v>
      </c>
      <c r="I67" s="59">
        <v>78</v>
      </c>
      <c r="J67" s="59">
        <v>75</v>
      </c>
      <c r="K67" s="93" t="s">
        <v>168</v>
      </c>
      <c r="L67" s="71">
        <v>25</v>
      </c>
      <c r="M67" s="1"/>
      <c r="N67" s="7"/>
      <c r="O67" s="7"/>
      <c r="P67" s="7"/>
      <c r="Q67" s="7"/>
      <c r="R67" s="7"/>
      <c r="S67" s="7"/>
      <c r="T67" s="1"/>
      <c r="U67" s="1"/>
      <c r="V67" s="1"/>
      <c r="W67" s="1"/>
      <c r="X67" s="1"/>
      <c r="Y67" s="1"/>
      <c r="Z67" s="1"/>
    </row>
    <row r="68" spans="1:26" ht="12.75" x14ac:dyDescent="0.2">
      <c r="A68" s="69" t="s">
        <v>107</v>
      </c>
      <c r="B68" s="58" t="s">
        <v>62</v>
      </c>
      <c r="C68" s="59">
        <v>7</v>
      </c>
      <c r="D68" s="59">
        <v>4</v>
      </c>
      <c r="E68" s="59">
        <v>1</v>
      </c>
      <c r="F68" s="59">
        <v>0</v>
      </c>
      <c r="G68" s="59">
        <v>2</v>
      </c>
      <c r="H68" s="60">
        <v>6.64</v>
      </c>
      <c r="I68" s="59">
        <v>78</v>
      </c>
      <c r="J68" s="59">
        <v>75</v>
      </c>
      <c r="K68" s="93" t="s">
        <v>169</v>
      </c>
      <c r="L68" s="71">
        <v>18</v>
      </c>
      <c r="M68" s="1"/>
      <c r="N68" s="7"/>
      <c r="O68" s="7"/>
      <c r="P68" s="7"/>
      <c r="Q68" s="7"/>
      <c r="R68" s="7"/>
      <c r="S68" s="7"/>
      <c r="T68" s="1"/>
      <c r="U68" s="1"/>
      <c r="V68" s="1"/>
      <c r="W68" s="1"/>
      <c r="X68" s="1"/>
      <c r="Y68" s="1"/>
      <c r="Z68" s="1"/>
    </row>
    <row r="69" spans="1:26" ht="12.75" x14ac:dyDescent="0.2">
      <c r="A69" s="69" t="s">
        <v>107</v>
      </c>
      <c r="B69" s="58" t="s">
        <v>170</v>
      </c>
      <c r="C69" s="59">
        <v>0</v>
      </c>
      <c r="D69" s="59">
        <v>1</v>
      </c>
      <c r="E69" s="59">
        <v>0</v>
      </c>
      <c r="F69" s="59">
        <v>1</v>
      </c>
      <c r="G69" s="59">
        <v>1</v>
      </c>
      <c r="H69" s="60">
        <v>6.16</v>
      </c>
      <c r="I69" s="59">
        <v>68</v>
      </c>
      <c r="J69" s="59">
        <v>63</v>
      </c>
      <c r="K69" s="93" t="s">
        <v>171</v>
      </c>
      <c r="L69" s="71">
        <v>9</v>
      </c>
      <c r="M69" s="1"/>
      <c r="N69" s="7"/>
      <c r="O69" s="7"/>
      <c r="P69" s="7"/>
      <c r="Q69" s="7"/>
      <c r="R69" s="7"/>
      <c r="S69" s="7"/>
      <c r="T69" s="1"/>
      <c r="U69" s="1"/>
      <c r="V69" s="1"/>
      <c r="W69" s="1"/>
      <c r="X69" s="1"/>
      <c r="Y69" s="1"/>
      <c r="Z69" s="1"/>
    </row>
    <row r="70" spans="1:26" ht="12.75" x14ac:dyDescent="0.2">
      <c r="A70" s="69" t="s">
        <v>107</v>
      </c>
      <c r="B70" s="58" t="s">
        <v>172</v>
      </c>
      <c r="C70" s="59">
        <v>1</v>
      </c>
      <c r="D70" s="59">
        <v>0</v>
      </c>
      <c r="E70" s="59">
        <v>1</v>
      </c>
      <c r="F70" s="59">
        <v>0</v>
      </c>
      <c r="G70" s="59">
        <v>0</v>
      </c>
      <c r="H70" s="60">
        <v>6.57</v>
      </c>
      <c r="I70" s="59">
        <v>75</v>
      </c>
      <c r="J70" s="59">
        <v>75</v>
      </c>
      <c r="K70" s="93" t="s">
        <v>144</v>
      </c>
      <c r="L70" s="71">
        <v>3</v>
      </c>
      <c r="M70" s="1"/>
      <c r="N70" s="7"/>
      <c r="O70" s="7"/>
      <c r="P70" s="7"/>
      <c r="Q70" s="7"/>
      <c r="R70" s="7"/>
      <c r="S70" s="7"/>
      <c r="T70" s="1"/>
      <c r="U70" s="1"/>
      <c r="V70" s="1"/>
      <c r="W70" s="1"/>
      <c r="X70" s="1"/>
      <c r="Y70" s="1"/>
      <c r="Z70" s="1"/>
    </row>
    <row r="71" spans="1:26" ht="12.75" x14ac:dyDescent="0.2">
      <c r="A71" s="72" t="s">
        <v>173</v>
      </c>
      <c r="B71" s="58" t="s">
        <v>142</v>
      </c>
      <c r="C71" s="59">
        <v>2</v>
      </c>
      <c r="D71" s="59">
        <v>7</v>
      </c>
      <c r="E71" s="59">
        <v>0</v>
      </c>
      <c r="F71" s="59">
        <v>0</v>
      </c>
      <c r="G71" s="59">
        <v>3</v>
      </c>
      <c r="H71" s="60">
        <v>6.4</v>
      </c>
      <c r="I71" s="59">
        <v>87</v>
      </c>
      <c r="J71" s="59">
        <v>86</v>
      </c>
      <c r="K71" s="93" t="s">
        <v>197</v>
      </c>
      <c r="L71" s="71">
        <v>23</v>
      </c>
      <c r="M71" s="1"/>
      <c r="N71" s="7"/>
      <c r="O71" s="7"/>
      <c r="P71" s="7"/>
      <c r="Q71" s="7"/>
      <c r="R71" s="7"/>
      <c r="S71" s="7"/>
      <c r="T71" s="1"/>
      <c r="U71" s="1"/>
      <c r="V71" s="1"/>
      <c r="W71" s="1"/>
      <c r="X71" s="1"/>
      <c r="Y71" s="1"/>
      <c r="Z71" s="1"/>
    </row>
    <row r="72" spans="1:26" ht="12.75" x14ac:dyDescent="0.2">
      <c r="A72" s="72" t="s">
        <v>173</v>
      </c>
      <c r="B72" s="58" t="s">
        <v>30</v>
      </c>
      <c r="C72" s="59">
        <v>0</v>
      </c>
      <c r="D72" s="59">
        <v>2</v>
      </c>
      <c r="E72" s="59">
        <v>0</v>
      </c>
      <c r="F72" s="59">
        <v>0</v>
      </c>
      <c r="G72" s="59">
        <v>3</v>
      </c>
      <c r="H72" s="60">
        <v>6.66</v>
      </c>
      <c r="I72" s="59">
        <v>77</v>
      </c>
      <c r="J72" s="59">
        <v>76</v>
      </c>
      <c r="K72" s="93" t="s">
        <v>198</v>
      </c>
      <c r="L72" s="71">
        <v>14</v>
      </c>
      <c r="M72" s="1"/>
      <c r="N72" s="7"/>
      <c r="O72" s="7"/>
      <c r="P72" s="7"/>
      <c r="Q72" s="7"/>
      <c r="R72" s="7"/>
      <c r="S72" s="7"/>
      <c r="T72" s="1"/>
      <c r="U72" s="1"/>
      <c r="V72" s="1"/>
      <c r="W72" s="1"/>
      <c r="X72" s="1"/>
      <c r="Y72" s="1"/>
      <c r="Z72" s="1"/>
    </row>
    <row r="73" spans="1:26" ht="12.75" x14ac:dyDescent="0.2">
      <c r="A73" s="72" t="s">
        <v>173</v>
      </c>
      <c r="B73" s="58" t="s">
        <v>62</v>
      </c>
      <c r="C73" s="59">
        <v>5</v>
      </c>
      <c r="D73" s="59">
        <v>2</v>
      </c>
      <c r="E73" s="59">
        <v>1</v>
      </c>
      <c r="F73" s="59">
        <v>0</v>
      </c>
      <c r="G73" s="59">
        <v>3</v>
      </c>
      <c r="H73" s="60">
        <v>6.4</v>
      </c>
      <c r="I73" s="59">
        <v>78</v>
      </c>
      <c r="J73" s="59">
        <v>78</v>
      </c>
      <c r="K73" s="93" t="s">
        <v>199</v>
      </c>
      <c r="L73" s="71">
        <v>16</v>
      </c>
      <c r="M73" s="1"/>
      <c r="N73" s="7"/>
      <c r="O73" s="7"/>
      <c r="P73" s="7"/>
      <c r="Q73" s="7"/>
      <c r="R73" s="7"/>
      <c r="S73" s="7"/>
      <c r="T73" s="1"/>
      <c r="U73" s="1"/>
      <c r="V73" s="1"/>
      <c r="W73" s="1"/>
      <c r="X73" s="1"/>
      <c r="Y73" s="1"/>
      <c r="Z73" s="1"/>
    </row>
    <row r="74" spans="1:26" ht="12.75" x14ac:dyDescent="0.2">
      <c r="A74" s="72" t="s">
        <v>173</v>
      </c>
      <c r="B74" s="58" t="s">
        <v>110</v>
      </c>
      <c r="C74" s="59">
        <v>0</v>
      </c>
      <c r="D74" s="59">
        <v>0</v>
      </c>
      <c r="E74" s="59">
        <v>0</v>
      </c>
      <c r="F74" s="59">
        <v>0</v>
      </c>
      <c r="G74" s="59">
        <v>19</v>
      </c>
      <c r="H74" s="60">
        <v>6.97</v>
      </c>
      <c r="I74" s="59">
        <v>87</v>
      </c>
      <c r="J74" s="59">
        <v>83</v>
      </c>
      <c r="K74" s="93" t="s">
        <v>200</v>
      </c>
      <c r="L74" s="71">
        <v>52</v>
      </c>
      <c r="M74" s="1"/>
      <c r="N74" s="7"/>
      <c r="O74" s="7"/>
      <c r="P74" s="7"/>
      <c r="Q74" s="7"/>
      <c r="R74" s="7"/>
      <c r="S74" s="7"/>
      <c r="T74" s="1"/>
      <c r="U74" s="1"/>
      <c r="V74" s="1"/>
      <c r="W74" s="1"/>
      <c r="X74" s="1"/>
      <c r="Y74" s="1"/>
      <c r="Z74" s="1"/>
    </row>
    <row r="75" spans="1:26" ht="12.75" x14ac:dyDescent="0.2">
      <c r="A75" s="72" t="s">
        <v>173</v>
      </c>
      <c r="B75" s="58" t="s">
        <v>119</v>
      </c>
      <c r="C75" s="59">
        <v>9</v>
      </c>
      <c r="D75" s="59">
        <v>7</v>
      </c>
      <c r="E75" s="59">
        <v>2</v>
      </c>
      <c r="F75" s="59">
        <v>0</v>
      </c>
      <c r="G75" s="59">
        <v>17</v>
      </c>
      <c r="H75" s="60">
        <v>7.02</v>
      </c>
      <c r="I75" s="59">
        <v>87</v>
      </c>
      <c r="J75" s="59">
        <v>85</v>
      </c>
      <c r="K75" s="93" t="s">
        <v>201</v>
      </c>
      <c r="L75" s="71">
        <v>51</v>
      </c>
      <c r="M75" s="1"/>
      <c r="N75" s="7"/>
      <c r="O75" s="7"/>
      <c r="P75" s="7"/>
      <c r="Q75" s="7"/>
      <c r="R75" s="7"/>
      <c r="S75" s="7"/>
      <c r="T75" s="1"/>
      <c r="U75" s="1"/>
      <c r="V75" s="1"/>
      <c r="W75" s="1"/>
      <c r="X75" s="1"/>
      <c r="Y75" s="1"/>
      <c r="Z75" s="1"/>
    </row>
    <row r="76" spans="1:26" ht="12.75" x14ac:dyDescent="0.2">
      <c r="A76" s="72" t="s">
        <v>173</v>
      </c>
      <c r="B76" s="58" t="s">
        <v>102</v>
      </c>
      <c r="C76" s="59">
        <v>29</v>
      </c>
      <c r="D76" s="59">
        <v>5</v>
      </c>
      <c r="E76" s="59">
        <v>0</v>
      </c>
      <c r="F76" s="59">
        <v>0</v>
      </c>
      <c r="G76" s="59">
        <v>19</v>
      </c>
      <c r="H76" s="60">
        <v>7.23</v>
      </c>
      <c r="I76" s="59">
        <v>95</v>
      </c>
      <c r="J76" s="59">
        <v>91</v>
      </c>
      <c r="K76" s="93" t="s">
        <v>202</v>
      </c>
      <c r="L76" s="71">
        <v>50</v>
      </c>
      <c r="M76" s="1"/>
      <c r="N76" s="7"/>
      <c r="O76" s="7"/>
      <c r="P76" s="7"/>
      <c r="Q76" s="7"/>
      <c r="R76" s="7"/>
      <c r="S76" s="7"/>
      <c r="T76" s="1"/>
      <c r="U76" s="1"/>
      <c r="V76" s="1"/>
      <c r="W76" s="1"/>
      <c r="X76" s="1"/>
      <c r="Y76" s="1"/>
      <c r="Z76" s="1"/>
    </row>
    <row r="77" spans="1:26" ht="12.75" x14ac:dyDescent="0.2">
      <c r="A77" s="72" t="s">
        <v>173</v>
      </c>
      <c r="B77" s="58" t="s">
        <v>203</v>
      </c>
      <c r="C77" s="59">
        <v>1</v>
      </c>
      <c r="D77" s="59">
        <v>2</v>
      </c>
      <c r="E77" s="59">
        <v>2</v>
      </c>
      <c r="F77" s="59">
        <v>1</v>
      </c>
      <c r="G77" s="59">
        <v>14</v>
      </c>
      <c r="H77" s="60">
        <v>6.77</v>
      </c>
      <c r="I77" s="59">
        <v>89</v>
      </c>
      <c r="J77" s="59">
        <v>84</v>
      </c>
      <c r="K77" s="93" t="s">
        <v>204</v>
      </c>
      <c r="L77" s="71">
        <v>47</v>
      </c>
      <c r="M77" s="1"/>
      <c r="N77" s="7"/>
      <c r="O77" s="7"/>
      <c r="P77" s="7"/>
      <c r="Q77" s="7"/>
      <c r="R77" s="7"/>
      <c r="S77" s="7"/>
      <c r="T77" s="1"/>
      <c r="U77" s="1"/>
      <c r="V77" s="1"/>
      <c r="W77" s="1"/>
      <c r="X77" s="1"/>
      <c r="Y77" s="1"/>
      <c r="Z77" s="1"/>
    </row>
    <row r="78" spans="1:26" ht="12.75" x14ac:dyDescent="0.2">
      <c r="A78" s="72" t="s">
        <v>173</v>
      </c>
      <c r="B78" s="58" t="s">
        <v>174</v>
      </c>
      <c r="C78" s="59">
        <v>2</v>
      </c>
      <c r="D78" s="59">
        <v>5</v>
      </c>
      <c r="E78" s="59">
        <v>2</v>
      </c>
      <c r="F78" s="59">
        <v>0</v>
      </c>
      <c r="G78" s="59">
        <v>18</v>
      </c>
      <c r="H78" s="60">
        <v>6.91</v>
      </c>
      <c r="I78" s="59">
        <v>85</v>
      </c>
      <c r="J78" s="59">
        <v>83</v>
      </c>
      <c r="K78" s="93" t="s">
        <v>205</v>
      </c>
      <c r="L78" s="71">
        <v>45</v>
      </c>
      <c r="M78" s="1"/>
      <c r="N78" s="7"/>
      <c r="O78" s="7"/>
      <c r="P78" s="7"/>
      <c r="Q78" s="7"/>
      <c r="R78" s="7"/>
      <c r="S78" s="7"/>
      <c r="T78" s="1"/>
      <c r="U78" s="1"/>
      <c r="V78" s="1"/>
      <c r="W78" s="1"/>
      <c r="X78" s="1"/>
      <c r="Y78" s="1"/>
      <c r="Z78" s="1"/>
    </row>
    <row r="79" spans="1:26" ht="12.75" x14ac:dyDescent="0.2">
      <c r="A79" s="72" t="s">
        <v>173</v>
      </c>
      <c r="B79" s="58" t="s">
        <v>178</v>
      </c>
      <c r="C79" s="59">
        <v>7</v>
      </c>
      <c r="D79" s="59">
        <v>10</v>
      </c>
      <c r="E79" s="59">
        <v>2</v>
      </c>
      <c r="F79" s="59">
        <v>0</v>
      </c>
      <c r="G79" s="59">
        <v>16</v>
      </c>
      <c r="H79" s="60">
        <v>6.65</v>
      </c>
      <c r="I79" s="59">
        <v>86</v>
      </c>
      <c r="J79" s="59">
        <v>84</v>
      </c>
      <c r="K79" s="93" t="s">
        <v>206</v>
      </c>
      <c r="L79" s="71">
        <v>44</v>
      </c>
      <c r="M79" s="1"/>
      <c r="N79" s="7"/>
      <c r="O79" s="7"/>
      <c r="P79" s="7"/>
      <c r="Q79" s="7"/>
      <c r="R79" s="7"/>
      <c r="S79" s="7"/>
      <c r="T79" s="1"/>
      <c r="U79" s="1"/>
      <c r="V79" s="1"/>
      <c r="W79" s="1"/>
      <c r="X79" s="1"/>
      <c r="Y79" s="1"/>
      <c r="Z79" s="1"/>
    </row>
    <row r="80" spans="1:26" ht="12.75" x14ac:dyDescent="0.2">
      <c r="A80" s="72" t="s">
        <v>173</v>
      </c>
      <c r="B80" s="58" t="s">
        <v>26</v>
      </c>
      <c r="C80" s="59">
        <v>0</v>
      </c>
      <c r="D80" s="59">
        <v>2</v>
      </c>
      <c r="E80" s="59">
        <v>4</v>
      </c>
      <c r="F80" s="59">
        <v>0</v>
      </c>
      <c r="G80" s="59">
        <v>19</v>
      </c>
      <c r="H80" s="60">
        <v>6.72</v>
      </c>
      <c r="I80" s="59">
        <v>87</v>
      </c>
      <c r="J80" s="59">
        <v>84</v>
      </c>
      <c r="K80" s="93" t="s">
        <v>207</v>
      </c>
      <c r="L80" s="71">
        <v>43</v>
      </c>
      <c r="M80" s="1"/>
      <c r="N80" s="7"/>
      <c r="O80" s="7"/>
      <c r="P80" s="7"/>
      <c r="Q80" s="7"/>
      <c r="R80" s="7"/>
      <c r="S80" s="7"/>
      <c r="T80" s="1"/>
      <c r="U80" s="1"/>
      <c r="V80" s="1"/>
      <c r="W80" s="1"/>
      <c r="X80" s="1"/>
      <c r="Y80" s="1"/>
      <c r="Z80" s="1"/>
    </row>
    <row r="81" spans="1:26" ht="12.75" x14ac:dyDescent="0.2">
      <c r="A81" s="72" t="s">
        <v>173</v>
      </c>
      <c r="B81" s="58" t="s">
        <v>112</v>
      </c>
      <c r="C81" s="59">
        <v>1</v>
      </c>
      <c r="D81" s="59">
        <v>0</v>
      </c>
      <c r="E81" s="59">
        <v>1</v>
      </c>
      <c r="F81" s="59">
        <v>0</v>
      </c>
      <c r="G81" s="59">
        <v>8</v>
      </c>
      <c r="H81" s="60">
        <v>6.57</v>
      </c>
      <c r="I81" s="59">
        <v>82</v>
      </c>
      <c r="J81" s="59">
        <v>79</v>
      </c>
      <c r="K81" s="93" t="s">
        <v>149</v>
      </c>
      <c r="L81" s="71">
        <v>39</v>
      </c>
      <c r="M81" s="1"/>
      <c r="N81" s="7"/>
      <c r="O81" s="7"/>
      <c r="P81" s="7"/>
      <c r="Q81" s="7"/>
      <c r="R81" s="7"/>
      <c r="S81" s="7"/>
      <c r="T81" s="1"/>
      <c r="U81" s="1"/>
      <c r="V81" s="1"/>
      <c r="W81" s="1"/>
      <c r="X81" s="1"/>
      <c r="Y81" s="1"/>
      <c r="Z81" s="1"/>
    </row>
    <row r="82" spans="1:26" ht="12.75" x14ac:dyDescent="0.2">
      <c r="A82" s="72" t="s">
        <v>173</v>
      </c>
      <c r="B82" s="58" t="s">
        <v>137</v>
      </c>
      <c r="C82" s="59">
        <v>1</v>
      </c>
      <c r="D82" s="59">
        <v>4</v>
      </c>
      <c r="E82" s="59">
        <v>4</v>
      </c>
      <c r="F82" s="59">
        <v>1</v>
      </c>
      <c r="G82" s="59">
        <v>15</v>
      </c>
      <c r="H82" s="60">
        <v>6.87</v>
      </c>
      <c r="I82" s="59">
        <v>87</v>
      </c>
      <c r="J82" s="59">
        <v>84</v>
      </c>
      <c r="K82" s="93" t="s">
        <v>208</v>
      </c>
      <c r="L82" s="71">
        <v>38</v>
      </c>
      <c r="M82" s="1"/>
      <c r="N82" s="7"/>
      <c r="O82" s="7"/>
      <c r="P82" s="7"/>
      <c r="Q82" s="7"/>
      <c r="R82" s="7"/>
      <c r="S82" s="7"/>
      <c r="T82" s="1"/>
      <c r="U82" s="1"/>
      <c r="V82" s="1"/>
      <c r="W82" s="1"/>
      <c r="X82" s="1"/>
      <c r="Y82" s="1"/>
      <c r="Z82" s="1"/>
    </row>
    <row r="83" spans="1:26" ht="12.75" x14ac:dyDescent="0.2">
      <c r="A83" s="72" t="s">
        <v>173</v>
      </c>
      <c r="B83" s="58" t="s">
        <v>124</v>
      </c>
      <c r="C83" s="59">
        <v>5</v>
      </c>
      <c r="D83" s="59">
        <v>7</v>
      </c>
      <c r="E83" s="59">
        <v>1</v>
      </c>
      <c r="F83" s="59">
        <v>0</v>
      </c>
      <c r="G83" s="59">
        <v>8</v>
      </c>
      <c r="H83" s="60">
        <v>6.39</v>
      </c>
      <c r="I83" s="59">
        <v>84</v>
      </c>
      <c r="J83" s="59">
        <v>83</v>
      </c>
      <c r="K83" s="93" t="s">
        <v>209</v>
      </c>
      <c r="L83" s="71">
        <v>38</v>
      </c>
      <c r="M83" s="1"/>
      <c r="N83" s="7"/>
      <c r="O83" s="7"/>
      <c r="P83" s="7"/>
      <c r="Q83" s="7"/>
      <c r="R83" s="7"/>
      <c r="S83" s="7"/>
      <c r="T83" s="1"/>
      <c r="U83" s="1"/>
      <c r="V83" s="1"/>
      <c r="W83" s="1"/>
      <c r="X83" s="1"/>
      <c r="Y83" s="1"/>
      <c r="Z83" s="1"/>
    </row>
    <row r="84" spans="1:26" ht="12.75" x14ac:dyDescent="0.2">
      <c r="A84" s="72" t="s">
        <v>173</v>
      </c>
      <c r="B84" s="58" t="s">
        <v>103</v>
      </c>
      <c r="C84" s="59">
        <v>11</v>
      </c>
      <c r="D84" s="59">
        <v>7</v>
      </c>
      <c r="E84" s="59">
        <v>1</v>
      </c>
      <c r="F84" s="59">
        <v>0</v>
      </c>
      <c r="G84" s="59">
        <v>6</v>
      </c>
      <c r="H84" s="60">
        <v>6.77</v>
      </c>
      <c r="I84" s="59">
        <v>84</v>
      </c>
      <c r="J84" s="59">
        <v>82</v>
      </c>
      <c r="K84" s="93" t="s">
        <v>210</v>
      </c>
      <c r="L84" s="71">
        <v>35</v>
      </c>
      <c r="M84" s="1"/>
      <c r="N84" s="7"/>
      <c r="O84" s="7"/>
      <c r="P84" s="7"/>
      <c r="Q84" s="7"/>
      <c r="R84" s="7"/>
      <c r="S84" s="7"/>
      <c r="T84" s="1"/>
      <c r="U84" s="1"/>
      <c r="V84" s="1"/>
      <c r="W84" s="1"/>
      <c r="X84" s="1"/>
      <c r="Y84" s="1"/>
      <c r="Z84" s="1"/>
    </row>
    <row r="85" spans="1:26" ht="12.75" x14ac:dyDescent="0.2">
      <c r="A85" s="72" t="s">
        <v>173</v>
      </c>
      <c r="B85" s="58" t="s">
        <v>104</v>
      </c>
      <c r="C85" s="59">
        <v>15</v>
      </c>
      <c r="D85" s="59">
        <v>5</v>
      </c>
      <c r="E85" s="59">
        <v>1</v>
      </c>
      <c r="F85" s="59">
        <v>0</v>
      </c>
      <c r="G85" s="59">
        <v>5</v>
      </c>
      <c r="H85" s="60">
        <v>6.67</v>
      </c>
      <c r="I85" s="59">
        <v>84</v>
      </c>
      <c r="J85" s="59">
        <v>81</v>
      </c>
      <c r="K85" s="93" t="s">
        <v>211</v>
      </c>
      <c r="L85" s="71">
        <v>33</v>
      </c>
      <c r="M85" s="1"/>
      <c r="N85" s="7"/>
      <c r="O85" s="7"/>
      <c r="P85" s="7"/>
      <c r="Q85" s="7"/>
      <c r="R85" s="7"/>
      <c r="S85" s="7"/>
      <c r="T85" s="1"/>
      <c r="U85" s="1"/>
      <c r="V85" s="1"/>
      <c r="W85" s="1"/>
      <c r="X85" s="1"/>
      <c r="Y85" s="1"/>
      <c r="Z85" s="1"/>
    </row>
    <row r="86" spans="1:26" ht="12.75" x14ac:dyDescent="0.2">
      <c r="A86" s="72" t="s">
        <v>173</v>
      </c>
      <c r="B86" s="58" t="s">
        <v>58</v>
      </c>
      <c r="C86" s="59">
        <v>9</v>
      </c>
      <c r="D86" s="59">
        <v>5</v>
      </c>
      <c r="E86" s="59">
        <v>1</v>
      </c>
      <c r="F86" s="59">
        <v>0</v>
      </c>
      <c r="G86" s="59">
        <v>6</v>
      </c>
      <c r="H86" s="60">
        <v>6.45</v>
      </c>
      <c r="I86" s="59">
        <v>81</v>
      </c>
      <c r="J86" s="59">
        <v>80</v>
      </c>
      <c r="K86" s="93" t="s">
        <v>212</v>
      </c>
      <c r="L86" s="71">
        <v>32</v>
      </c>
      <c r="M86" s="1"/>
      <c r="N86" s="7"/>
      <c r="O86" s="7"/>
      <c r="P86" s="7"/>
      <c r="Q86" s="7"/>
      <c r="R86" s="7"/>
      <c r="S86" s="7"/>
      <c r="T86" s="1"/>
      <c r="U86" s="1"/>
      <c r="V86" s="1"/>
      <c r="W86" s="1"/>
      <c r="X86" s="1"/>
      <c r="Y86" s="1"/>
      <c r="Z86" s="1"/>
    </row>
    <row r="87" spans="1:26" ht="12.75" x14ac:dyDescent="0.2">
      <c r="A87" s="72" t="s">
        <v>173</v>
      </c>
      <c r="B87" s="58" t="s">
        <v>83</v>
      </c>
      <c r="C87" s="59">
        <v>1</v>
      </c>
      <c r="D87" s="59">
        <v>2</v>
      </c>
      <c r="E87" s="59">
        <v>3</v>
      </c>
      <c r="F87" s="59">
        <v>0</v>
      </c>
      <c r="G87" s="59">
        <v>4</v>
      </c>
      <c r="H87" s="60">
        <v>6.4</v>
      </c>
      <c r="I87" s="59">
        <v>82</v>
      </c>
      <c r="J87" s="59">
        <v>81</v>
      </c>
      <c r="K87" s="93" t="s">
        <v>213</v>
      </c>
      <c r="L87" s="71">
        <v>28</v>
      </c>
      <c r="M87" s="1"/>
      <c r="N87" s="7"/>
      <c r="O87" s="7"/>
      <c r="P87" s="7"/>
      <c r="Q87" s="7"/>
      <c r="R87" s="7"/>
      <c r="S87" s="7"/>
      <c r="T87" s="1"/>
      <c r="U87" s="1"/>
      <c r="V87" s="1"/>
      <c r="W87" s="1"/>
      <c r="X87" s="1"/>
      <c r="Y87" s="1"/>
      <c r="Z87" s="1"/>
    </row>
    <row r="88" spans="1:26" ht="12.75" x14ac:dyDescent="0.2">
      <c r="A88" s="72" t="s">
        <v>173</v>
      </c>
      <c r="B88" s="58" t="s">
        <v>141</v>
      </c>
      <c r="C88" s="59">
        <v>9</v>
      </c>
      <c r="D88" s="59">
        <v>4</v>
      </c>
      <c r="E88" s="59">
        <v>2</v>
      </c>
      <c r="F88" s="59">
        <v>1</v>
      </c>
      <c r="G88" s="59">
        <v>12</v>
      </c>
      <c r="H88" s="60">
        <v>6.72</v>
      </c>
      <c r="I88" s="59">
        <v>86</v>
      </c>
      <c r="J88" s="59">
        <v>82</v>
      </c>
      <c r="K88" s="93" t="s">
        <v>207</v>
      </c>
      <c r="L88" s="71">
        <v>27</v>
      </c>
      <c r="M88" s="1"/>
      <c r="N88" s="7"/>
      <c r="O88" s="7"/>
      <c r="P88" s="7"/>
      <c r="Q88" s="7"/>
      <c r="R88" s="7"/>
      <c r="S88" s="7"/>
      <c r="T88" s="1"/>
      <c r="U88" s="1"/>
      <c r="V88" s="1"/>
      <c r="W88" s="1"/>
      <c r="X88" s="1"/>
      <c r="Y88" s="1"/>
      <c r="Z88" s="1"/>
    </row>
    <row r="89" spans="1:26" ht="12.75" x14ac:dyDescent="0.2">
      <c r="A89" s="72" t="s">
        <v>173</v>
      </c>
      <c r="B89" s="58" t="s">
        <v>177</v>
      </c>
      <c r="C89" s="59">
        <v>0</v>
      </c>
      <c r="D89" s="59">
        <v>4</v>
      </c>
      <c r="E89" s="59">
        <v>2</v>
      </c>
      <c r="F89" s="59">
        <v>0</v>
      </c>
      <c r="G89" s="59">
        <v>2</v>
      </c>
      <c r="H89" s="60">
        <v>6.4</v>
      </c>
      <c r="I89" s="59">
        <v>83</v>
      </c>
      <c r="J89" s="59">
        <v>82</v>
      </c>
      <c r="K89" s="93" t="s">
        <v>212</v>
      </c>
      <c r="L89" s="71">
        <v>27</v>
      </c>
      <c r="M89" s="1"/>
      <c r="N89" s="7"/>
      <c r="O89" s="7"/>
      <c r="P89" s="7"/>
      <c r="Q89" s="7"/>
      <c r="R89" s="7"/>
      <c r="S89" s="7"/>
      <c r="T89" s="1"/>
      <c r="U89" s="1"/>
      <c r="V89" s="1"/>
      <c r="W89" s="1"/>
      <c r="X89" s="1"/>
      <c r="Y89" s="1"/>
      <c r="Z89" s="1"/>
    </row>
    <row r="90" spans="1:26" ht="12.75" x14ac:dyDescent="0.2">
      <c r="A90" s="72" t="s">
        <v>173</v>
      </c>
      <c r="B90" s="58" t="s">
        <v>186</v>
      </c>
      <c r="C90" s="59">
        <v>0</v>
      </c>
      <c r="D90" s="59">
        <v>1</v>
      </c>
      <c r="E90" s="59">
        <v>3</v>
      </c>
      <c r="F90" s="59">
        <v>1</v>
      </c>
      <c r="G90" s="59">
        <v>13</v>
      </c>
      <c r="H90" s="60">
        <v>6.53</v>
      </c>
      <c r="I90" s="59">
        <v>88</v>
      </c>
      <c r="J90" s="59">
        <v>88</v>
      </c>
      <c r="K90" s="93" t="s">
        <v>214</v>
      </c>
      <c r="L90" s="71">
        <v>23</v>
      </c>
      <c r="M90" s="1"/>
      <c r="N90" s="7"/>
      <c r="O90" s="7"/>
      <c r="P90" s="7"/>
      <c r="Q90" s="7"/>
      <c r="R90" s="7"/>
      <c r="S90" s="7"/>
      <c r="T90" s="1"/>
      <c r="U90" s="1"/>
      <c r="V90" s="1"/>
      <c r="W90" s="1"/>
      <c r="X90" s="1"/>
      <c r="Y90" s="1"/>
      <c r="Z90" s="1"/>
    </row>
    <row r="91" spans="1:26" ht="12.75" x14ac:dyDescent="0.2">
      <c r="A91" s="72" t="s">
        <v>173</v>
      </c>
      <c r="B91" s="58" t="s">
        <v>191</v>
      </c>
      <c r="C91" s="59">
        <v>7</v>
      </c>
      <c r="D91" s="59">
        <v>10</v>
      </c>
      <c r="E91" s="59">
        <v>0</v>
      </c>
      <c r="F91" s="59">
        <v>0</v>
      </c>
      <c r="G91" s="59">
        <v>11</v>
      </c>
      <c r="H91" s="60">
        <v>7.02</v>
      </c>
      <c r="I91" s="59">
        <v>90</v>
      </c>
      <c r="J91" s="59">
        <v>89</v>
      </c>
      <c r="K91" s="93" t="s">
        <v>215</v>
      </c>
      <c r="L91" s="71">
        <v>23</v>
      </c>
      <c r="M91" s="1"/>
      <c r="N91" s="7"/>
      <c r="O91" s="7"/>
      <c r="P91" s="7"/>
      <c r="Q91" s="7"/>
      <c r="R91" s="7"/>
      <c r="S91" s="7"/>
      <c r="T91" s="1"/>
      <c r="U91" s="1"/>
      <c r="V91" s="1"/>
      <c r="W91" s="1"/>
      <c r="X91" s="1"/>
      <c r="Y91" s="1"/>
      <c r="Z91" s="1"/>
    </row>
    <row r="92" spans="1:26" ht="12.75" x14ac:dyDescent="0.2">
      <c r="A92" s="72" t="s">
        <v>173</v>
      </c>
      <c r="B92" s="58" t="s">
        <v>164</v>
      </c>
      <c r="C92" s="59">
        <v>1</v>
      </c>
      <c r="D92" s="59">
        <v>0</v>
      </c>
      <c r="E92" s="59">
        <v>0</v>
      </c>
      <c r="F92" s="59">
        <v>0</v>
      </c>
      <c r="G92" s="59">
        <v>1</v>
      </c>
      <c r="H92" s="60">
        <v>6.23</v>
      </c>
      <c r="I92" s="59">
        <v>80</v>
      </c>
      <c r="J92" s="59">
        <v>77</v>
      </c>
      <c r="K92" s="93" t="s">
        <v>189</v>
      </c>
      <c r="L92" s="71">
        <v>22</v>
      </c>
      <c r="M92" s="1"/>
      <c r="N92" s="7"/>
      <c r="O92" s="7"/>
      <c r="P92" s="7"/>
      <c r="Q92" s="7"/>
      <c r="R92" s="7"/>
      <c r="S92" s="7"/>
      <c r="T92" s="1"/>
      <c r="U92" s="1"/>
      <c r="V92" s="1"/>
      <c r="W92" s="1"/>
      <c r="X92" s="1"/>
      <c r="Y92" s="1"/>
      <c r="Z92" s="1"/>
    </row>
    <row r="93" spans="1:26" ht="12.75" x14ac:dyDescent="0.2">
      <c r="A93" s="72" t="s">
        <v>173</v>
      </c>
      <c r="B93" s="58" t="s">
        <v>18</v>
      </c>
      <c r="C93" s="59">
        <v>0</v>
      </c>
      <c r="D93" s="59">
        <v>0</v>
      </c>
      <c r="E93" s="59">
        <v>1</v>
      </c>
      <c r="F93" s="59">
        <v>0</v>
      </c>
      <c r="G93" s="59">
        <v>5</v>
      </c>
      <c r="H93" s="60">
        <v>6.53</v>
      </c>
      <c r="I93" s="59">
        <v>79</v>
      </c>
      <c r="J93" s="59">
        <v>78</v>
      </c>
      <c r="K93" s="93" t="s">
        <v>216</v>
      </c>
      <c r="L93" s="71">
        <v>19</v>
      </c>
      <c r="M93" s="1"/>
      <c r="N93" s="7"/>
      <c r="O93" s="7"/>
      <c r="P93" s="7"/>
      <c r="Q93" s="7"/>
      <c r="R93" s="7"/>
      <c r="S93" s="7"/>
      <c r="T93" s="1"/>
      <c r="U93" s="1"/>
      <c r="V93" s="1"/>
      <c r="W93" s="1"/>
      <c r="X93" s="1"/>
      <c r="Y93" s="1"/>
      <c r="Z93" s="1"/>
    </row>
    <row r="94" spans="1:26" ht="12.75" x14ac:dyDescent="0.2">
      <c r="A94" s="72" t="s">
        <v>173</v>
      </c>
      <c r="B94" s="58" t="s">
        <v>187</v>
      </c>
      <c r="C94" s="59">
        <v>0</v>
      </c>
      <c r="D94" s="59">
        <v>0</v>
      </c>
      <c r="E94" s="59">
        <v>0</v>
      </c>
      <c r="F94" s="59">
        <v>0</v>
      </c>
      <c r="G94" s="59">
        <v>0</v>
      </c>
      <c r="H94" s="60">
        <v>6.5</v>
      </c>
      <c r="I94" s="59">
        <v>81</v>
      </c>
      <c r="J94" s="59">
        <v>80</v>
      </c>
      <c r="K94" s="93" t="s">
        <v>217</v>
      </c>
      <c r="L94" s="71">
        <v>6</v>
      </c>
      <c r="M94" s="1"/>
      <c r="N94" s="7"/>
      <c r="O94" s="7"/>
      <c r="P94" s="7"/>
      <c r="Q94" s="7"/>
      <c r="R94" s="7"/>
      <c r="S94" s="7"/>
      <c r="T94" s="1"/>
      <c r="U94" s="1"/>
      <c r="V94" s="1"/>
      <c r="W94" s="1"/>
      <c r="X94" s="1"/>
      <c r="Y94" s="1"/>
      <c r="Z94" s="1"/>
    </row>
    <row r="95" spans="1:26" ht="12.75" x14ac:dyDescent="0.2">
      <c r="A95" s="72" t="s">
        <v>173</v>
      </c>
      <c r="B95" s="58" t="s">
        <v>115</v>
      </c>
      <c r="C95" s="59">
        <v>0</v>
      </c>
      <c r="D95" s="59">
        <v>0</v>
      </c>
      <c r="E95" s="59">
        <v>0</v>
      </c>
      <c r="F95" s="59">
        <v>0</v>
      </c>
      <c r="G95" s="59">
        <v>0</v>
      </c>
      <c r="H95" s="60">
        <v>6.02</v>
      </c>
      <c r="I95" s="59">
        <v>81</v>
      </c>
      <c r="J95" s="59">
        <v>74</v>
      </c>
      <c r="K95" s="93" t="s">
        <v>218</v>
      </c>
      <c r="L95" s="71">
        <v>5</v>
      </c>
      <c r="M95" s="1"/>
      <c r="N95" s="7"/>
      <c r="O95" s="7"/>
      <c r="P95" s="7"/>
      <c r="Q95" s="7"/>
      <c r="R95" s="7"/>
      <c r="S95" s="7"/>
      <c r="T95" s="1"/>
      <c r="U95" s="1"/>
      <c r="V95" s="1"/>
      <c r="W95" s="1"/>
      <c r="X95" s="1"/>
      <c r="Y95" s="1"/>
      <c r="Z95" s="1"/>
    </row>
    <row r="96" spans="1:26" ht="12.75" x14ac:dyDescent="0.2">
      <c r="A96" s="72" t="s">
        <v>173</v>
      </c>
      <c r="B96" s="58" t="s">
        <v>219</v>
      </c>
      <c r="C96" s="59">
        <v>0</v>
      </c>
      <c r="D96" s="59">
        <v>0</v>
      </c>
      <c r="E96" s="59">
        <v>0</v>
      </c>
      <c r="F96" s="59">
        <v>0</v>
      </c>
      <c r="G96" s="59">
        <v>1</v>
      </c>
      <c r="H96" s="60">
        <v>6.48</v>
      </c>
      <c r="I96" s="59">
        <v>75</v>
      </c>
      <c r="J96" s="59">
        <v>72</v>
      </c>
      <c r="K96" s="93" t="s">
        <v>167</v>
      </c>
      <c r="L96" s="71">
        <v>5</v>
      </c>
      <c r="M96" s="1"/>
      <c r="N96" s="7"/>
      <c r="O96" s="7"/>
      <c r="P96" s="7"/>
      <c r="Q96" s="7"/>
      <c r="R96" s="7"/>
      <c r="S96" s="7"/>
      <c r="T96" s="1"/>
      <c r="U96" s="1"/>
      <c r="V96" s="1"/>
      <c r="W96" s="1"/>
      <c r="X96" s="1"/>
      <c r="Y96" s="1"/>
      <c r="Z96" s="1"/>
    </row>
    <row r="97" spans="1:26" ht="13.5" customHeight="1" x14ac:dyDescent="0.2">
      <c r="A97" s="72" t="s">
        <v>173</v>
      </c>
      <c r="B97" s="58" t="s">
        <v>220</v>
      </c>
      <c r="C97" s="59">
        <v>1</v>
      </c>
      <c r="D97" s="59">
        <v>2</v>
      </c>
      <c r="E97" s="59">
        <v>0</v>
      </c>
      <c r="F97" s="59">
        <v>0</v>
      </c>
      <c r="G97" s="59">
        <v>0</v>
      </c>
      <c r="H97" s="60">
        <v>6.42</v>
      </c>
      <c r="I97" s="59">
        <v>75</v>
      </c>
      <c r="J97" s="59">
        <v>71</v>
      </c>
      <c r="K97" s="93" t="s">
        <v>221</v>
      </c>
      <c r="L97" s="71">
        <v>5</v>
      </c>
      <c r="M97" s="1"/>
      <c r="N97" s="7"/>
      <c r="O97" s="7"/>
      <c r="P97" s="7"/>
      <c r="Q97" s="7"/>
      <c r="R97" s="7"/>
      <c r="S97" s="7"/>
      <c r="T97" s="1"/>
      <c r="U97" s="1"/>
      <c r="V97" s="1"/>
      <c r="W97" s="1"/>
      <c r="X97" s="1"/>
      <c r="Y97" s="1"/>
      <c r="Z97" s="1"/>
    </row>
    <row r="98" spans="1:26" ht="14.25" customHeight="1" x14ac:dyDescent="0.2">
      <c r="A98" s="72" t="s">
        <v>173</v>
      </c>
      <c r="B98" s="58" t="s">
        <v>222</v>
      </c>
      <c r="C98" s="59">
        <v>0</v>
      </c>
      <c r="D98" s="59">
        <v>0</v>
      </c>
      <c r="E98" s="59">
        <v>0</v>
      </c>
      <c r="F98" s="59">
        <v>0</v>
      </c>
      <c r="G98" s="59">
        <v>1</v>
      </c>
      <c r="H98" s="60">
        <v>6.47</v>
      </c>
      <c r="I98" s="59">
        <v>75</v>
      </c>
      <c r="J98" s="59">
        <v>73</v>
      </c>
      <c r="K98" s="93" t="s">
        <v>223</v>
      </c>
      <c r="L98" s="71">
        <v>4</v>
      </c>
      <c r="M98" s="1"/>
      <c r="N98" s="7"/>
      <c r="O98" s="7"/>
      <c r="P98" s="7"/>
      <c r="Q98" s="7"/>
      <c r="R98" s="7"/>
      <c r="S98" s="7"/>
      <c r="T98" s="1"/>
      <c r="U98" s="1"/>
      <c r="V98" s="1"/>
      <c r="W98" s="1"/>
      <c r="X98" s="1"/>
      <c r="Y98" s="1"/>
      <c r="Z98" s="1"/>
    </row>
    <row r="99" spans="1:26" ht="12.75" x14ac:dyDescent="0.2">
      <c r="A99" s="73" t="s">
        <v>173</v>
      </c>
      <c r="B99" s="74" t="s">
        <v>172</v>
      </c>
      <c r="C99" s="75">
        <v>0</v>
      </c>
      <c r="D99" s="75">
        <v>0</v>
      </c>
      <c r="E99" s="75">
        <v>1</v>
      </c>
      <c r="F99" s="75">
        <v>0</v>
      </c>
      <c r="G99" s="75">
        <v>0</v>
      </c>
      <c r="H99" s="76">
        <v>6.1</v>
      </c>
      <c r="I99" s="75">
        <v>74</v>
      </c>
      <c r="J99" s="75">
        <v>75</v>
      </c>
      <c r="K99" s="94" t="s">
        <v>224</v>
      </c>
      <c r="L99" s="77">
        <v>4</v>
      </c>
      <c r="M99" s="1"/>
      <c r="N99" s="7"/>
      <c r="O99" s="7"/>
      <c r="P99" s="7"/>
      <c r="Q99" s="7"/>
      <c r="R99" s="7"/>
      <c r="S99" s="7"/>
      <c r="T99" s="1"/>
      <c r="U99" s="1"/>
      <c r="V99" s="1"/>
      <c r="W99" s="1"/>
      <c r="X99" s="1"/>
      <c r="Y99" s="1"/>
      <c r="Z99" s="1"/>
    </row>
    <row r="100" spans="1:26" ht="12.75" x14ac:dyDescent="0.2">
      <c r="A100" s="7"/>
      <c r="B100" s="1"/>
      <c r="C100" s="7"/>
      <c r="D100" s="7"/>
      <c r="E100" s="7"/>
      <c r="F100" s="7"/>
      <c r="G100" s="7"/>
      <c r="H100" s="20"/>
      <c r="I100" s="7"/>
      <c r="J100" s="7"/>
      <c r="K100" s="22"/>
      <c r="L100" s="7"/>
      <c r="M100" s="1"/>
      <c r="N100" s="7"/>
      <c r="O100" s="7"/>
      <c r="P100" s="7"/>
      <c r="Q100" s="7"/>
      <c r="R100" s="7"/>
      <c r="S100" s="7"/>
      <c r="T100" s="1"/>
      <c r="U100" s="1"/>
      <c r="V100" s="1"/>
      <c r="W100" s="1"/>
      <c r="X100" s="1"/>
      <c r="Y100" s="1"/>
      <c r="Z100" s="1"/>
    </row>
    <row r="101" spans="1:26" ht="12.75" x14ac:dyDescent="0.2">
      <c r="A101" s="7"/>
      <c r="B101" s="1"/>
      <c r="C101" s="7"/>
      <c r="D101" s="7"/>
      <c r="E101" s="7"/>
      <c r="F101" s="7"/>
      <c r="G101" s="7"/>
      <c r="H101" s="20"/>
      <c r="I101" s="7"/>
      <c r="J101" s="7"/>
      <c r="K101" s="22"/>
      <c r="L101" s="7"/>
      <c r="M101" s="1"/>
      <c r="N101" s="7"/>
      <c r="O101" s="7"/>
      <c r="P101" s="7"/>
      <c r="Q101" s="7"/>
      <c r="R101" s="7"/>
      <c r="S101" s="7"/>
      <c r="T101" s="1"/>
      <c r="U101" s="1"/>
      <c r="V101" s="1"/>
      <c r="W101" s="1"/>
      <c r="X101" s="1"/>
      <c r="Y101" s="1"/>
      <c r="Z101" s="1"/>
    </row>
    <row r="102" spans="1:26" ht="12.75" x14ac:dyDescent="0.2">
      <c r="A102" s="7"/>
      <c r="B102" s="1"/>
      <c r="C102" s="7"/>
      <c r="D102" s="7"/>
      <c r="E102" s="7"/>
      <c r="F102" s="7"/>
      <c r="G102" s="7"/>
      <c r="H102" s="20"/>
      <c r="I102" s="7"/>
      <c r="J102" s="7"/>
      <c r="K102" s="22"/>
      <c r="L102" s="7"/>
      <c r="M102" s="1"/>
      <c r="N102" s="7"/>
      <c r="O102" s="7"/>
      <c r="P102" s="7"/>
      <c r="Q102" s="7"/>
      <c r="R102" s="7"/>
      <c r="S102" s="7"/>
      <c r="T102" s="1"/>
      <c r="U102" s="1"/>
      <c r="V102" s="1"/>
      <c r="W102" s="1"/>
      <c r="X102" s="1"/>
      <c r="Y102" s="1"/>
      <c r="Z102" s="1"/>
    </row>
    <row r="103" spans="1:26" ht="12.75" x14ac:dyDescent="0.2">
      <c r="A103" s="7"/>
      <c r="B103" s="1"/>
      <c r="C103" s="7"/>
      <c r="D103" s="7"/>
      <c r="E103" s="7"/>
      <c r="F103" s="7"/>
      <c r="G103" s="7"/>
      <c r="H103" s="20"/>
      <c r="I103" s="7"/>
      <c r="J103" s="7"/>
      <c r="K103" s="22"/>
      <c r="L103" s="7"/>
      <c r="M103" s="1"/>
      <c r="N103" s="7"/>
      <c r="O103" s="7"/>
      <c r="P103" s="7"/>
      <c r="Q103" s="7"/>
      <c r="R103" s="7"/>
      <c r="S103" s="7"/>
      <c r="T103" s="1"/>
      <c r="U103" s="1"/>
      <c r="V103" s="1"/>
      <c r="W103" s="1"/>
      <c r="X103" s="1"/>
      <c r="Y103" s="1"/>
      <c r="Z103" s="1"/>
    </row>
    <row r="104" spans="1:26" ht="12.75" x14ac:dyDescent="0.2">
      <c r="A104" s="7"/>
      <c r="B104" s="1"/>
      <c r="C104" s="7"/>
      <c r="D104" s="7"/>
      <c r="E104" s="7"/>
      <c r="F104" s="7"/>
      <c r="G104" s="7"/>
      <c r="H104" s="20"/>
      <c r="I104" s="7"/>
      <c r="J104" s="7"/>
      <c r="K104" s="22"/>
      <c r="L104" s="7"/>
      <c r="M104" s="1"/>
      <c r="N104" s="7"/>
      <c r="O104" s="7"/>
      <c r="P104" s="7"/>
      <c r="Q104" s="7"/>
      <c r="R104" s="7"/>
      <c r="S104" s="7"/>
      <c r="T104" s="1"/>
      <c r="U104" s="1"/>
      <c r="V104" s="1"/>
      <c r="W104" s="1"/>
      <c r="X104" s="1"/>
      <c r="Y104" s="1"/>
      <c r="Z104" s="1"/>
    </row>
    <row r="105" spans="1:26" ht="12.75" x14ac:dyDescent="0.2">
      <c r="A105" s="7"/>
      <c r="B105" s="1"/>
      <c r="C105" s="7"/>
      <c r="D105" s="7"/>
      <c r="E105" s="7"/>
      <c r="F105" s="7"/>
      <c r="G105" s="7"/>
      <c r="H105" s="20"/>
      <c r="I105" s="7"/>
      <c r="J105" s="7"/>
      <c r="K105" s="22"/>
      <c r="L105" s="7"/>
      <c r="M105" s="1"/>
      <c r="N105" s="7"/>
      <c r="O105" s="7"/>
      <c r="P105" s="7"/>
      <c r="Q105" s="7"/>
      <c r="R105" s="7"/>
      <c r="S105" s="7"/>
      <c r="T105" s="1"/>
      <c r="U105" s="1"/>
      <c r="V105" s="1"/>
      <c r="W105" s="1"/>
      <c r="X105" s="1"/>
      <c r="Y105" s="1"/>
      <c r="Z105" s="1"/>
    </row>
    <row r="106" spans="1:26" ht="12.75" x14ac:dyDescent="0.2">
      <c r="A106" s="7"/>
      <c r="B106" s="1"/>
      <c r="C106" s="7"/>
      <c r="D106" s="7"/>
      <c r="E106" s="7"/>
      <c r="F106" s="7"/>
      <c r="G106" s="7"/>
      <c r="H106" s="20"/>
      <c r="I106" s="7"/>
      <c r="J106" s="7"/>
      <c r="K106" s="22"/>
      <c r="L106" s="7"/>
      <c r="M106" s="1"/>
      <c r="N106" s="7"/>
      <c r="O106" s="7"/>
      <c r="P106" s="7"/>
      <c r="Q106" s="7"/>
      <c r="R106" s="7"/>
      <c r="S106" s="7"/>
      <c r="T106" s="1"/>
      <c r="U106" s="1"/>
      <c r="V106" s="1"/>
      <c r="W106" s="1"/>
      <c r="X106" s="1"/>
      <c r="Y106" s="1"/>
      <c r="Z106" s="1"/>
    </row>
    <row r="107" spans="1:26" ht="12.75" x14ac:dyDescent="0.2">
      <c r="A107" s="7"/>
      <c r="B107" s="1"/>
      <c r="C107" s="7"/>
      <c r="D107" s="7"/>
      <c r="E107" s="7"/>
      <c r="F107" s="7"/>
      <c r="G107" s="7"/>
      <c r="H107" s="20"/>
      <c r="I107" s="7"/>
      <c r="J107" s="7"/>
      <c r="K107" s="22"/>
      <c r="L107" s="7"/>
      <c r="M107" s="1"/>
      <c r="N107" s="7"/>
      <c r="O107" s="7"/>
      <c r="P107" s="7"/>
      <c r="Q107" s="7"/>
      <c r="R107" s="7"/>
      <c r="S107" s="7"/>
      <c r="T107" s="1"/>
      <c r="U107" s="1"/>
      <c r="V107" s="1"/>
      <c r="W107" s="1"/>
      <c r="X107" s="1"/>
      <c r="Y107" s="1"/>
      <c r="Z107" s="1"/>
    </row>
    <row r="108" spans="1:26" ht="12.75" x14ac:dyDescent="0.2">
      <c r="A108" s="7"/>
      <c r="B108" s="1"/>
      <c r="C108" s="7"/>
      <c r="D108" s="7"/>
      <c r="E108" s="7"/>
      <c r="F108" s="7"/>
      <c r="G108" s="7"/>
      <c r="H108" s="20"/>
      <c r="I108" s="7"/>
      <c r="J108" s="7"/>
      <c r="K108" s="22"/>
      <c r="L108" s="7"/>
      <c r="M108" s="1"/>
      <c r="N108" s="7"/>
      <c r="O108" s="7"/>
      <c r="P108" s="7"/>
      <c r="Q108" s="7"/>
      <c r="R108" s="7"/>
      <c r="S108" s="7"/>
      <c r="T108" s="1"/>
      <c r="U108" s="1"/>
      <c r="V108" s="1"/>
      <c r="W108" s="1"/>
      <c r="X108" s="1"/>
      <c r="Y108" s="1"/>
      <c r="Z108" s="1"/>
    </row>
    <row r="109" spans="1:26" ht="12.75" x14ac:dyDescent="0.2">
      <c r="A109" s="7"/>
      <c r="B109" s="1"/>
      <c r="C109" s="7"/>
      <c r="D109" s="7"/>
      <c r="E109" s="7"/>
      <c r="F109" s="7"/>
      <c r="G109" s="7"/>
      <c r="H109" s="20"/>
      <c r="I109" s="7"/>
      <c r="J109" s="7"/>
      <c r="K109" s="22"/>
      <c r="L109" s="7"/>
      <c r="M109" s="1"/>
      <c r="N109" s="7"/>
      <c r="O109" s="7"/>
      <c r="P109" s="7"/>
      <c r="Q109" s="7"/>
      <c r="R109" s="7"/>
      <c r="S109" s="7"/>
      <c r="T109" s="1"/>
      <c r="U109" s="1"/>
      <c r="V109" s="1"/>
      <c r="W109" s="1"/>
      <c r="X109" s="1"/>
      <c r="Y109" s="1"/>
      <c r="Z109" s="1"/>
    </row>
    <row r="110" spans="1:26" ht="12.75" x14ac:dyDescent="0.2">
      <c r="A110" s="7"/>
      <c r="B110" s="1"/>
      <c r="C110" s="7"/>
      <c r="D110" s="7"/>
      <c r="E110" s="7"/>
      <c r="F110" s="7"/>
      <c r="G110" s="7"/>
      <c r="H110" s="20"/>
      <c r="I110" s="7"/>
      <c r="J110" s="7"/>
      <c r="K110" s="22"/>
      <c r="L110" s="7"/>
      <c r="M110" s="1"/>
      <c r="N110" s="7"/>
      <c r="O110" s="7"/>
      <c r="P110" s="7"/>
      <c r="Q110" s="7"/>
      <c r="R110" s="7"/>
      <c r="S110" s="7"/>
      <c r="T110" s="1"/>
      <c r="U110" s="1"/>
      <c r="V110" s="1"/>
      <c r="W110" s="1"/>
      <c r="X110" s="1"/>
      <c r="Y110" s="1"/>
      <c r="Z110" s="1"/>
    </row>
    <row r="111" spans="1:26" ht="12.75" x14ac:dyDescent="0.2">
      <c r="A111" s="7"/>
      <c r="B111" s="1"/>
      <c r="C111" s="7"/>
      <c r="D111" s="7"/>
      <c r="E111" s="7"/>
      <c r="F111" s="7"/>
      <c r="G111" s="7"/>
      <c r="H111" s="20"/>
      <c r="I111" s="7"/>
      <c r="J111" s="7"/>
      <c r="K111" s="22"/>
      <c r="L111" s="7"/>
      <c r="M111" s="1"/>
      <c r="N111" s="7"/>
      <c r="O111" s="7"/>
      <c r="P111" s="7"/>
      <c r="Q111" s="7"/>
      <c r="R111" s="7"/>
      <c r="S111" s="7"/>
      <c r="T111" s="1"/>
      <c r="U111" s="1"/>
      <c r="V111" s="1"/>
      <c r="W111" s="1"/>
      <c r="X111" s="1"/>
      <c r="Y111" s="1"/>
      <c r="Z111" s="1"/>
    </row>
    <row r="112" spans="1:26" ht="12.75" x14ac:dyDescent="0.2">
      <c r="A112" s="7"/>
      <c r="B112" s="1"/>
      <c r="C112" s="7"/>
      <c r="D112" s="7"/>
      <c r="E112" s="7"/>
      <c r="F112" s="7"/>
      <c r="G112" s="7"/>
      <c r="H112" s="20"/>
      <c r="I112" s="7"/>
      <c r="J112" s="7"/>
      <c r="K112" s="22"/>
      <c r="L112" s="7"/>
      <c r="M112" s="1"/>
      <c r="N112" s="7"/>
      <c r="O112" s="7"/>
      <c r="P112" s="7"/>
      <c r="Q112" s="7"/>
      <c r="R112" s="7"/>
      <c r="S112" s="7"/>
      <c r="T112" s="1"/>
      <c r="U112" s="1"/>
      <c r="V112" s="1"/>
      <c r="W112" s="1"/>
      <c r="X112" s="1"/>
      <c r="Y112" s="1"/>
      <c r="Z112" s="1"/>
    </row>
    <row r="113" spans="1:26" ht="12.75" x14ac:dyDescent="0.2">
      <c r="A113" s="7"/>
      <c r="B113" s="1"/>
      <c r="C113" s="7"/>
      <c r="D113" s="7"/>
      <c r="E113" s="7"/>
      <c r="F113" s="7"/>
      <c r="G113" s="7"/>
      <c r="H113" s="20"/>
      <c r="I113" s="7"/>
      <c r="J113" s="7"/>
      <c r="K113" s="22"/>
      <c r="L113" s="7"/>
      <c r="M113" s="1"/>
      <c r="N113" s="7"/>
      <c r="O113" s="7"/>
      <c r="P113" s="7"/>
      <c r="Q113" s="7"/>
      <c r="R113" s="7"/>
      <c r="S113" s="7"/>
      <c r="T113" s="1"/>
      <c r="U113" s="1"/>
      <c r="V113" s="1"/>
      <c r="W113" s="1"/>
      <c r="X113" s="1"/>
      <c r="Y113" s="1"/>
      <c r="Z113" s="1"/>
    </row>
    <row r="114" spans="1:26" ht="12.75" x14ac:dyDescent="0.2">
      <c r="A114" s="7"/>
      <c r="B114" s="1"/>
      <c r="C114" s="7"/>
      <c r="D114" s="7"/>
      <c r="E114" s="7"/>
      <c r="F114" s="7"/>
      <c r="G114" s="7"/>
      <c r="H114" s="20"/>
      <c r="I114" s="7"/>
      <c r="J114" s="7"/>
      <c r="K114" s="22"/>
      <c r="L114" s="7"/>
      <c r="M114" s="1"/>
      <c r="N114" s="7"/>
      <c r="O114" s="7"/>
      <c r="P114" s="7"/>
      <c r="Q114" s="7"/>
      <c r="R114" s="7"/>
      <c r="S114" s="7"/>
      <c r="T114" s="1"/>
      <c r="U114" s="1"/>
      <c r="V114" s="1"/>
      <c r="W114" s="1"/>
      <c r="X114" s="1"/>
      <c r="Y114" s="1"/>
      <c r="Z114" s="1"/>
    </row>
    <row r="115" spans="1:26" ht="12.75" x14ac:dyDescent="0.2">
      <c r="A115" s="7"/>
      <c r="B115" s="1"/>
      <c r="C115" s="7"/>
      <c r="D115" s="7"/>
      <c r="E115" s="7"/>
      <c r="F115" s="7"/>
      <c r="G115" s="7"/>
      <c r="H115" s="20"/>
      <c r="I115" s="7"/>
      <c r="J115" s="7"/>
      <c r="K115" s="22"/>
      <c r="L115" s="7"/>
      <c r="M115" s="1"/>
      <c r="N115" s="7"/>
      <c r="O115" s="7"/>
      <c r="P115" s="7"/>
      <c r="Q115" s="7"/>
      <c r="R115" s="7"/>
      <c r="S115" s="7"/>
      <c r="T115" s="1"/>
      <c r="U115" s="1"/>
      <c r="V115" s="1"/>
      <c r="W115" s="1"/>
      <c r="X115" s="1"/>
      <c r="Y115" s="1"/>
      <c r="Z115" s="1"/>
    </row>
    <row r="116" spans="1:26" ht="12.75" x14ac:dyDescent="0.2">
      <c r="A116" s="7"/>
      <c r="B116" s="1"/>
      <c r="C116" s="7"/>
      <c r="D116" s="7"/>
      <c r="E116" s="7"/>
      <c r="F116" s="7"/>
      <c r="G116" s="7"/>
      <c r="H116" s="20"/>
      <c r="I116" s="7"/>
      <c r="J116" s="7"/>
      <c r="K116" s="22"/>
      <c r="L116" s="7"/>
      <c r="M116" s="1"/>
      <c r="N116" s="7"/>
      <c r="O116" s="7"/>
      <c r="P116" s="7"/>
      <c r="Q116" s="7"/>
      <c r="R116" s="7"/>
      <c r="S116" s="7"/>
      <c r="T116" s="1"/>
      <c r="U116" s="1"/>
      <c r="V116" s="1"/>
      <c r="W116" s="1"/>
      <c r="X116" s="1"/>
      <c r="Y116" s="1"/>
      <c r="Z116" s="1"/>
    </row>
    <row r="117" spans="1:26" ht="12.75" x14ac:dyDescent="0.2">
      <c r="A117" s="7"/>
      <c r="B117" s="1"/>
      <c r="C117" s="7"/>
      <c r="D117" s="7"/>
      <c r="E117" s="7"/>
      <c r="F117" s="7"/>
      <c r="G117" s="7"/>
      <c r="H117" s="20"/>
      <c r="I117" s="7"/>
      <c r="J117" s="7"/>
      <c r="K117" s="22"/>
      <c r="L117" s="7"/>
      <c r="M117" s="1"/>
      <c r="N117" s="7"/>
      <c r="O117" s="7"/>
      <c r="P117" s="7"/>
      <c r="Q117" s="7"/>
      <c r="R117" s="7"/>
      <c r="S117" s="7"/>
      <c r="T117" s="1"/>
      <c r="U117" s="1"/>
      <c r="V117" s="1"/>
      <c r="W117" s="1"/>
      <c r="X117" s="1"/>
      <c r="Y117" s="1"/>
      <c r="Z117" s="1"/>
    </row>
    <row r="118" spans="1:26" ht="12.75" x14ac:dyDescent="0.2">
      <c r="A118" s="7"/>
      <c r="B118" s="1"/>
      <c r="C118" s="7"/>
      <c r="D118" s="7"/>
      <c r="E118" s="7"/>
      <c r="F118" s="7"/>
      <c r="G118" s="7"/>
      <c r="H118" s="20"/>
      <c r="I118" s="7"/>
      <c r="J118" s="7"/>
      <c r="K118" s="22"/>
      <c r="L118" s="7"/>
      <c r="M118" s="1"/>
      <c r="N118" s="7"/>
      <c r="O118" s="7"/>
      <c r="P118" s="7"/>
      <c r="Q118" s="7"/>
      <c r="R118" s="7"/>
      <c r="S118" s="7"/>
      <c r="T118" s="1"/>
      <c r="U118" s="1"/>
      <c r="V118" s="1"/>
      <c r="W118" s="1"/>
      <c r="X118" s="1"/>
      <c r="Y118" s="1"/>
      <c r="Z118" s="1"/>
    </row>
    <row r="119" spans="1:26" ht="12.75" x14ac:dyDescent="0.2">
      <c r="A119" s="7"/>
      <c r="B119" s="1"/>
      <c r="C119" s="7"/>
      <c r="D119" s="7"/>
      <c r="E119" s="7"/>
      <c r="F119" s="7"/>
      <c r="G119" s="7"/>
      <c r="H119" s="20"/>
      <c r="I119" s="7"/>
      <c r="J119" s="7"/>
      <c r="K119" s="22"/>
      <c r="L119" s="7"/>
      <c r="M119" s="1"/>
      <c r="N119" s="7"/>
      <c r="O119" s="7"/>
      <c r="P119" s="7"/>
      <c r="Q119" s="7"/>
      <c r="R119" s="7"/>
      <c r="S119" s="7"/>
      <c r="T119" s="1"/>
      <c r="U119" s="1"/>
      <c r="V119" s="1"/>
      <c r="W119" s="1"/>
      <c r="X119" s="1"/>
      <c r="Y119" s="1"/>
      <c r="Z119" s="1"/>
    </row>
    <row r="120" spans="1:26" ht="12.75" x14ac:dyDescent="0.2">
      <c r="A120" s="7"/>
      <c r="B120" s="1"/>
      <c r="C120" s="7"/>
      <c r="D120" s="7"/>
      <c r="E120" s="7"/>
      <c r="F120" s="7"/>
      <c r="G120" s="7"/>
      <c r="H120" s="20"/>
      <c r="I120" s="7"/>
      <c r="J120" s="7"/>
      <c r="K120" s="22"/>
      <c r="L120" s="7"/>
      <c r="M120" s="1"/>
      <c r="N120" s="7"/>
      <c r="O120" s="7"/>
      <c r="P120" s="7"/>
      <c r="Q120" s="7"/>
      <c r="R120" s="7"/>
      <c r="S120" s="7"/>
      <c r="T120" s="1"/>
      <c r="U120" s="1"/>
      <c r="V120" s="1"/>
      <c r="W120" s="1"/>
      <c r="X120" s="1"/>
      <c r="Y120" s="1"/>
      <c r="Z120" s="1"/>
    </row>
    <row r="121" spans="1:26" ht="12.75" x14ac:dyDescent="0.2">
      <c r="A121" s="7"/>
      <c r="B121" s="1"/>
      <c r="C121" s="7"/>
      <c r="D121" s="7"/>
      <c r="E121" s="7"/>
      <c r="F121" s="7"/>
      <c r="G121" s="7"/>
      <c r="H121" s="20"/>
      <c r="I121" s="7"/>
      <c r="J121" s="7"/>
      <c r="K121" s="22"/>
      <c r="L121" s="7"/>
      <c r="M121" s="1"/>
      <c r="N121" s="7"/>
      <c r="O121" s="7"/>
      <c r="P121" s="7"/>
      <c r="Q121" s="7"/>
      <c r="R121" s="7"/>
      <c r="S121" s="7"/>
      <c r="T121" s="1"/>
      <c r="U121" s="1"/>
      <c r="V121" s="1"/>
      <c r="W121" s="1"/>
      <c r="X121" s="1"/>
      <c r="Y121" s="1"/>
      <c r="Z121" s="1"/>
    </row>
    <row r="122" spans="1:26" ht="12.75" x14ac:dyDescent="0.2">
      <c r="A122" s="7"/>
      <c r="B122" s="1"/>
      <c r="C122" s="7"/>
      <c r="D122" s="7"/>
      <c r="E122" s="7"/>
      <c r="F122" s="7"/>
      <c r="G122" s="7"/>
      <c r="H122" s="20"/>
      <c r="I122" s="7"/>
      <c r="J122" s="7"/>
      <c r="K122" s="22"/>
      <c r="L122" s="7"/>
      <c r="M122" s="1"/>
      <c r="N122" s="7"/>
      <c r="O122" s="7"/>
      <c r="P122" s="7"/>
      <c r="Q122" s="7"/>
      <c r="R122" s="7"/>
      <c r="S122" s="7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7"/>
      <c r="B123" s="1"/>
      <c r="C123" s="7"/>
      <c r="D123" s="7"/>
      <c r="E123" s="7"/>
      <c r="F123" s="7"/>
      <c r="G123" s="7"/>
      <c r="H123" s="20"/>
      <c r="I123" s="7"/>
      <c r="J123" s="7"/>
      <c r="K123" s="22"/>
      <c r="L123" s="7"/>
    </row>
    <row r="124" spans="1:26" ht="15.75" customHeight="1" x14ac:dyDescent="0.2">
      <c r="A124" s="7"/>
      <c r="B124" s="1"/>
      <c r="C124" s="7"/>
      <c r="D124" s="7"/>
      <c r="E124" s="7"/>
      <c r="F124" s="7"/>
      <c r="G124" s="7"/>
      <c r="H124" s="20"/>
      <c r="I124" s="7"/>
      <c r="J124" s="7"/>
      <c r="K124" s="22"/>
      <c r="L124" s="7"/>
    </row>
    <row r="125" spans="1:26" ht="15.75" customHeight="1" x14ac:dyDescent="0.2">
      <c r="A125" s="7"/>
      <c r="B125" s="1"/>
      <c r="C125" s="7"/>
      <c r="D125" s="7"/>
      <c r="E125" s="7"/>
      <c r="F125" s="7"/>
      <c r="G125" s="7"/>
      <c r="H125" s="20"/>
      <c r="I125" s="7"/>
      <c r="J125" s="7"/>
      <c r="K125" s="22"/>
      <c r="L125" s="7"/>
    </row>
    <row r="126" spans="1:26" ht="15.75" customHeight="1" x14ac:dyDescent="0.2">
      <c r="A126" s="7"/>
      <c r="B126" s="1"/>
      <c r="C126" s="7"/>
      <c r="D126" s="7"/>
      <c r="E126" s="7"/>
      <c r="F126" s="7"/>
      <c r="G126" s="7"/>
      <c r="H126" s="20"/>
      <c r="I126" s="7"/>
      <c r="J126" s="7"/>
      <c r="K126" s="22"/>
      <c r="L126" s="7"/>
    </row>
    <row r="127" spans="1:26" ht="15.75" customHeight="1" x14ac:dyDescent="0.2">
      <c r="A127" s="7"/>
      <c r="B127" s="1"/>
      <c r="C127" s="7"/>
      <c r="D127" s="7"/>
      <c r="E127" s="7"/>
      <c r="F127" s="7"/>
      <c r="G127" s="7"/>
      <c r="H127" s="20"/>
      <c r="I127" s="7"/>
      <c r="J127" s="7"/>
      <c r="K127" s="22"/>
      <c r="L127" s="7"/>
    </row>
    <row r="128" spans="1:26" ht="15.75" customHeight="1" x14ac:dyDescent="0.2">
      <c r="A128" s="7"/>
      <c r="B128" s="1"/>
      <c r="C128" s="7"/>
      <c r="D128" s="7"/>
      <c r="E128" s="7"/>
      <c r="F128" s="7"/>
      <c r="G128" s="7"/>
      <c r="H128" s="20"/>
      <c r="I128" s="7"/>
      <c r="J128" s="7"/>
      <c r="K128" s="22"/>
      <c r="L128" s="7"/>
    </row>
    <row r="129" spans="1:12" ht="15.75" customHeight="1" x14ac:dyDescent="0.2">
      <c r="A129" s="7"/>
      <c r="B129" s="1"/>
      <c r="C129" s="7"/>
      <c r="D129" s="7"/>
      <c r="E129" s="7"/>
      <c r="F129" s="7"/>
      <c r="G129" s="7"/>
      <c r="H129" s="20"/>
      <c r="I129" s="7"/>
      <c r="J129" s="7"/>
      <c r="K129" s="22"/>
      <c r="L129" s="7"/>
    </row>
    <row r="130" spans="1:12" ht="15.75" customHeight="1" x14ac:dyDescent="0.2">
      <c r="A130" s="7"/>
      <c r="B130" s="1"/>
      <c r="C130" s="7"/>
      <c r="D130" s="7"/>
      <c r="E130" s="7"/>
      <c r="F130" s="7"/>
      <c r="G130" s="7"/>
      <c r="H130" s="20"/>
      <c r="I130" s="7"/>
      <c r="J130" s="7"/>
      <c r="K130" s="22"/>
      <c r="L130" s="7"/>
    </row>
    <row r="131" spans="1:12" ht="15.75" customHeight="1" x14ac:dyDescent="0.2">
      <c r="A131" s="7"/>
      <c r="B131" s="1"/>
      <c r="C131" s="7"/>
      <c r="D131" s="7"/>
      <c r="E131" s="7"/>
      <c r="F131" s="7"/>
      <c r="G131" s="7"/>
      <c r="H131" s="20"/>
      <c r="I131" s="7"/>
      <c r="J131" s="7"/>
      <c r="K131" s="22"/>
      <c r="L131" s="7"/>
    </row>
    <row r="132" spans="1:12" ht="15.75" customHeight="1" x14ac:dyDescent="0.2">
      <c r="A132" s="7"/>
      <c r="B132" s="1"/>
      <c r="C132" s="7"/>
      <c r="D132" s="7"/>
      <c r="E132" s="7"/>
      <c r="F132" s="7"/>
      <c r="G132" s="7"/>
      <c r="H132" s="20"/>
      <c r="I132" s="7"/>
      <c r="J132" s="7"/>
      <c r="K132" s="22"/>
      <c r="L132" s="7"/>
    </row>
    <row r="133" spans="1:12" ht="15.75" customHeight="1" x14ac:dyDescent="0.2">
      <c r="A133" s="7"/>
      <c r="B133" s="1"/>
      <c r="C133" s="7"/>
      <c r="D133" s="7"/>
      <c r="E133" s="7"/>
      <c r="F133" s="7"/>
      <c r="G133" s="7"/>
      <c r="H133" s="20"/>
      <c r="I133" s="7"/>
      <c r="J133" s="7"/>
      <c r="K133" s="22"/>
      <c r="L133" s="7"/>
    </row>
    <row r="134" spans="1:12" ht="15.75" customHeight="1" x14ac:dyDescent="0.2">
      <c r="A134" s="7"/>
      <c r="B134" s="1"/>
      <c r="C134" s="7"/>
      <c r="D134" s="7"/>
      <c r="E134" s="7"/>
      <c r="F134" s="7"/>
      <c r="G134" s="7"/>
      <c r="H134" s="20"/>
      <c r="I134" s="7"/>
      <c r="J134" s="7"/>
      <c r="K134" s="22"/>
      <c r="L134" s="7"/>
    </row>
    <row r="135" spans="1:12" ht="15.75" customHeight="1" x14ac:dyDescent="0.2">
      <c r="A135" s="7"/>
      <c r="B135" s="1"/>
      <c r="C135" s="7"/>
      <c r="D135" s="7"/>
      <c r="E135" s="7"/>
      <c r="F135" s="7"/>
      <c r="G135" s="7"/>
      <c r="H135" s="20"/>
      <c r="I135" s="7"/>
      <c r="J135" s="7"/>
      <c r="K135" s="22"/>
      <c r="L135" s="7"/>
    </row>
    <row r="136" spans="1:12" ht="15.75" customHeight="1" x14ac:dyDescent="0.2">
      <c r="A136" s="7"/>
      <c r="B136" s="1"/>
      <c r="C136" s="7"/>
      <c r="D136" s="7"/>
      <c r="E136" s="7"/>
      <c r="F136" s="7"/>
      <c r="G136" s="7"/>
      <c r="H136" s="20"/>
      <c r="I136" s="7"/>
      <c r="J136" s="7"/>
      <c r="K136" s="22"/>
      <c r="L136" s="7"/>
    </row>
    <row r="137" spans="1:12" ht="15.75" customHeight="1" x14ac:dyDescent="0.2">
      <c r="A137" s="7"/>
      <c r="B137" s="1"/>
      <c r="C137" s="7"/>
      <c r="D137" s="7"/>
      <c r="E137" s="7"/>
      <c r="F137" s="7"/>
      <c r="G137" s="7"/>
      <c r="H137" s="20"/>
      <c r="I137" s="7"/>
      <c r="J137" s="7"/>
      <c r="K137" s="22"/>
      <c r="L137" s="7"/>
    </row>
    <row r="138" spans="1:12" ht="15.75" customHeight="1" x14ac:dyDescent="0.2">
      <c r="A138" s="7"/>
      <c r="B138" s="1"/>
      <c r="C138" s="7"/>
      <c r="D138" s="7"/>
      <c r="E138" s="7"/>
      <c r="F138" s="7"/>
      <c r="G138" s="7"/>
      <c r="H138" s="20"/>
      <c r="I138" s="7"/>
      <c r="J138" s="7"/>
      <c r="K138" s="22"/>
      <c r="L138" s="7"/>
    </row>
    <row r="139" spans="1:12" ht="15.75" customHeight="1" x14ac:dyDescent="0.2">
      <c r="A139" s="7"/>
      <c r="B139" s="1"/>
      <c r="C139" s="7"/>
      <c r="D139" s="7"/>
      <c r="E139" s="7"/>
      <c r="F139" s="7"/>
      <c r="G139" s="7"/>
      <c r="H139" s="20"/>
      <c r="I139" s="7"/>
      <c r="J139" s="7"/>
      <c r="K139" s="22"/>
      <c r="L139" s="7"/>
    </row>
    <row r="140" spans="1:12" ht="15.75" customHeight="1" x14ac:dyDescent="0.2">
      <c r="A140" s="7"/>
      <c r="B140" s="1"/>
      <c r="C140" s="7"/>
      <c r="D140" s="7"/>
      <c r="E140" s="7"/>
      <c r="F140" s="7"/>
      <c r="G140" s="7"/>
      <c r="H140" s="20"/>
      <c r="I140" s="7"/>
      <c r="J140" s="7"/>
      <c r="K140" s="22"/>
      <c r="L140" s="7"/>
    </row>
    <row r="141" spans="1:12" ht="15.75" customHeight="1" x14ac:dyDescent="0.2">
      <c r="A141" s="7"/>
      <c r="B141" s="1"/>
      <c r="C141" s="7"/>
      <c r="D141" s="7"/>
      <c r="E141" s="7"/>
      <c r="F141" s="7"/>
      <c r="G141" s="7"/>
      <c r="H141" s="20"/>
      <c r="I141" s="7"/>
      <c r="J141" s="7"/>
      <c r="K141" s="22"/>
      <c r="L141" s="7"/>
    </row>
    <row r="142" spans="1:12" ht="15.75" customHeight="1" x14ac:dyDescent="0.2">
      <c r="A142" s="7"/>
      <c r="B142" s="1"/>
      <c r="C142" s="7"/>
      <c r="D142" s="7"/>
      <c r="E142" s="7"/>
      <c r="F142" s="7"/>
      <c r="G142" s="7"/>
      <c r="H142" s="20"/>
      <c r="I142" s="7"/>
      <c r="J142" s="7"/>
      <c r="K142" s="22"/>
      <c r="L142" s="7"/>
    </row>
    <row r="143" spans="1:12" ht="15.75" customHeight="1" x14ac:dyDescent="0.2">
      <c r="A143" s="7"/>
      <c r="B143" s="1"/>
      <c r="C143" s="7"/>
      <c r="D143" s="7"/>
      <c r="E143" s="7"/>
      <c r="F143" s="7"/>
      <c r="G143" s="7"/>
      <c r="H143" s="20"/>
      <c r="I143" s="7"/>
      <c r="J143" s="7"/>
      <c r="K143" s="22"/>
      <c r="L143" s="7"/>
    </row>
    <row r="144" spans="1:12" ht="15.75" customHeight="1" x14ac:dyDescent="0.2">
      <c r="A144" s="7"/>
      <c r="B144" s="1"/>
      <c r="C144" s="7"/>
      <c r="D144" s="7"/>
      <c r="E144" s="7"/>
      <c r="F144" s="7"/>
      <c r="G144" s="7"/>
      <c r="H144" s="20"/>
      <c r="I144" s="7"/>
      <c r="J144" s="7"/>
      <c r="K144" s="22"/>
      <c r="L144" s="7"/>
    </row>
    <row r="145" spans="1:12" ht="15.75" customHeight="1" x14ac:dyDescent="0.2">
      <c r="A145" s="7"/>
      <c r="B145" s="1"/>
      <c r="C145" s="7"/>
      <c r="D145" s="7"/>
      <c r="E145" s="7"/>
      <c r="F145" s="7"/>
      <c r="G145" s="7"/>
      <c r="H145" s="20"/>
      <c r="I145" s="7"/>
      <c r="J145" s="7"/>
      <c r="K145" s="22"/>
      <c r="L145" s="7"/>
    </row>
    <row r="146" spans="1:12" ht="15.75" customHeight="1" x14ac:dyDescent="0.2">
      <c r="A146" s="7"/>
      <c r="B146" s="1"/>
      <c r="C146" s="7"/>
      <c r="D146" s="7"/>
      <c r="E146" s="7"/>
      <c r="F146" s="7"/>
      <c r="G146" s="7"/>
      <c r="H146" s="20"/>
      <c r="I146" s="7"/>
      <c r="J146" s="7"/>
      <c r="K146" s="22"/>
      <c r="L146" s="7"/>
    </row>
    <row r="147" spans="1:12" ht="15.75" customHeight="1" x14ac:dyDescent="0.2">
      <c r="A147" s="7"/>
      <c r="B147" s="1"/>
      <c r="C147" s="7"/>
      <c r="D147" s="7"/>
      <c r="E147" s="7"/>
      <c r="F147" s="7"/>
      <c r="G147" s="7"/>
      <c r="H147" s="20"/>
      <c r="I147" s="7"/>
      <c r="J147" s="7"/>
      <c r="K147" s="22"/>
      <c r="L147" s="7"/>
    </row>
    <row r="148" spans="1:12" ht="15.75" customHeight="1" x14ac:dyDescent="0.2">
      <c r="A148" s="7"/>
      <c r="B148" s="1"/>
      <c r="C148" s="7"/>
      <c r="D148" s="7"/>
      <c r="E148" s="7"/>
      <c r="F148" s="7"/>
      <c r="G148" s="7"/>
      <c r="H148" s="20"/>
      <c r="I148" s="7"/>
      <c r="J148" s="7"/>
      <c r="K148" s="22"/>
      <c r="L148" s="7"/>
    </row>
    <row r="149" spans="1:12" ht="15.75" customHeight="1" x14ac:dyDescent="0.2">
      <c r="A149" s="7"/>
      <c r="B149" s="1"/>
      <c r="C149" s="7"/>
      <c r="D149" s="7"/>
      <c r="E149" s="7"/>
      <c r="F149" s="7"/>
      <c r="G149" s="7"/>
      <c r="H149" s="20"/>
      <c r="I149" s="7"/>
      <c r="J149" s="7"/>
      <c r="K149" s="22"/>
      <c r="L149" s="7"/>
    </row>
    <row r="150" spans="1:12" ht="15.75" customHeight="1" x14ac:dyDescent="0.2">
      <c r="A150" s="7"/>
      <c r="B150" s="1"/>
      <c r="C150" s="7"/>
      <c r="D150" s="7"/>
      <c r="E150" s="7"/>
      <c r="F150" s="7"/>
      <c r="G150" s="7"/>
      <c r="H150" s="20"/>
      <c r="I150" s="7"/>
      <c r="J150" s="7"/>
      <c r="K150" s="22"/>
      <c r="L150" s="7"/>
    </row>
    <row r="151" spans="1:12" ht="15.75" customHeight="1" x14ac:dyDescent="0.2">
      <c r="A151" s="7"/>
      <c r="B151" s="1"/>
      <c r="C151" s="7"/>
      <c r="D151" s="7"/>
      <c r="E151" s="7"/>
      <c r="F151" s="7"/>
      <c r="G151" s="7"/>
      <c r="H151" s="20"/>
      <c r="I151" s="7"/>
      <c r="J151" s="7"/>
      <c r="K151" s="22"/>
      <c r="L151" s="7"/>
    </row>
    <row r="152" spans="1:12" ht="15.75" customHeight="1" x14ac:dyDescent="0.2">
      <c r="A152" s="7"/>
      <c r="B152" s="1"/>
      <c r="C152" s="7"/>
      <c r="D152" s="7"/>
      <c r="E152" s="7"/>
      <c r="F152" s="7"/>
      <c r="G152" s="7"/>
      <c r="H152" s="20"/>
      <c r="I152" s="7"/>
      <c r="J152" s="7"/>
      <c r="K152" s="22"/>
      <c r="L152" s="7"/>
    </row>
    <row r="153" spans="1:12" ht="15.75" customHeight="1" x14ac:dyDescent="0.2">
      <c r="A153" s="7"/>
      <c r="B153" s="1"/>
      <c r="C153" s="7"/>
      <c r="D153" s="7"/>
      <c r="E153" s="7"/>
      <c r="F153" s="7"/>
      <c r="G153" s="7"/>
      <c r="H153" s="20"/>
      <c r="I153" s="7"/>
      <c r="J153" s="7"/>
      <c r="K153" s="22"/>
      <c r="L153" s="7"/>
    </row>
    <row r="154" spans="1:12" ht="15.75" customHeight="1" x14ac:dyDescent="0.2">
      <c r="A154" s="7"/>
      <c r="B154" s="1"/>
      <c r="C154" s="7"/>
      <c r="D154" s="7"/>
      <c r="E154" s="7"/>
      <c r="F154" s="7"/>
      <c r="G154" s="7"/>
      <c r="H154" s="20"/>
      <c r="I154" s="7"/>
      <c r="J154" s="7"/>
      <c r="K154" s="22"/>
      <c r="L154" s="7"/>
    </row>
    <row r="155" spans="1:12" ht="15.75" customHeight="1" x14ac:dyDescent="0.2">
      <c r="A155" s="7"/>
      <c r="B155" s="1"/>
      <c r="C155" s="7"/>
      <c r="D155" s="7"/>
      <c r="E155" s="7"/>
      <c r="F155" s="7"/>
      <c r="G155" s="7"/>
      <c r="H155" s="20"/>
      <c r="I155" s="7"/>
      <c r="J155" s="7"/>
      <c r="K155" s="22"/>
      <c r="L155" s="7"/>
    </row>
    <row r="156" spans="1:12" ht="15.75" customHeight="1" x14ac:dyDescent="0.2">
      <c r="A156" s="7"/>
      <c r="B156" s="1"/>
      <c r="C156" s="7"/>
      <c r="D156" s="7"/>
      <c r="E156" s="7"/>
      <c r="F156" s="7"/>
      <c r="G156" s="7"/>
      <c r="H156" s="20"/>
      <c r="I156" s="7"/>
      <c r="J156" s="7"/>
      <c r="K156" s="22"/>
      <c r="L156" s="7"/>
    </row>
    <row r="157" spans="1:12" ht="15.75" customHeight="1" x14ac:dyDescent="0.2">
      <c r="A157" s="7"/>
      <c r="B157" s="1"/>
      <c r="C157" s="7"/>
      <c r="D157" s="7"/>
      <c r="E157" s="7"/>
      <c r="F157" s="7"/>
      <c r="G157" s="7"/>
      <c r="H157" s="20"/>
      <c r="I157" s="7"/>
      <c r="J157" s="7"/>
      <c r="K157" s="22"/>
      <c r="L157" s="7"/>
    </row>
    <row r="158" spans="1:12" ht="15.75" customHeight="1" x14ac:dyDescent="0.2">
      <c r="A158" s="7"/>
      <c r="B158" s="1"/>
      <c r="C158" s="7"/>
      <c r="D158" s="7"/>
      <c r="E158" s="7"/>
      <c r="F158" s="7"/>
      <c r="G158" s="7"/>
      <c r="H158" s="20"/>
      <c r="I158" s="7"/>
      <c r="J158" s="7"/>
      <c r="K158" s="22"/>
      <c r="L158" s="7"/>
    </row>
  </sheetData>
  <mergeCells count="1">
    <mergeCell ref="O6:P6"/>
  </mergeCells>
  <phoneticPr fontId="4" type="noConversion"/>
  <conditionalFormatting sqref="A2:L99">
    <cfRule type="expression" dxfId="12" priority="1">
      <formula>IF(AND($O$8=$A2,$P$8=$B2),TRUE,FALSE)</formula>
    </cfRule>
  </conditionalFormatting>
  <dataValidations count="2">
    <dataValidation type="list" allowBlank="1" showInputMessage="1" showErrorMessage="1" sqref="A1 A100:A1048576" xr:uid="{00000000-0002-0000-0100-000000000000}">
      <formula1>TEMPORADAS</formula1>
    </dataValidation>
    <dataValidation type="list" allowBlank="1" showInputMessage="1" showErrorMessage="1" sqref="O8 A2:A99" xr:uid="{ED5C3C94-3948-4C94-9250-B2AA4F779473}">
      <formula1>SeasonsList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BC3293-FE83-4CDE-80B9-DB8BB7060BEB}">
          <x14:formula1>
            <xm:f>'Pruebas y desechos'!$B$6:$B$38</xm:f>
          </x14:formula1>
          <xm:sqref>P8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1A2C7-45D2-4CC0-B2FD-3D76347113C8}">
  <sheetPr codeName="Hoja5"/>
  <dimension ref="C4:J5"/>
  <sheetViews>
    <sheetView showGridLines="0" workbookViewId="0">
      <selection activeCell="E16" sqref="E16"/>
    </sheetView>
  </sheetViews>
  <sheetFormatPr baseColWidth="10" defaultRowHeight="12.75" x14ac:dyDescent="0.2"/>
  <cols>
    <col min="3" max="4" width="21.5703125" customWidth="1"/>
    <col min="7" max="7" width="8.7109375" customWidth="1"/>
    <col min="8" max="8" width="11" bestFit="1" customWidth="1"/>
    <col min="9" max="9" width="18.85546875" bestFit="1" customWidth="1"/>
    <col min="10" max="10" width="16.140625" bestFit="1" customWidth="1"/>
  </cols>
  <sheetData>
    <row r="4" spans="3:10" x14ac:dyDescent="0.2">
      <c r="C4" s="12" t="s">
        <v>0</v>
      </c>
      <c r="D4" s="12" t="s">
        <v>2</v>
      </c>
      <c r="G4" s="24" t="s">
        <v>96</v>
      </c>
      <c r="H4" s="24" t="s">
        <v>97</v>
      </c>
      <c r="I4" s="25" t="s">
        <v>118</v>
      </c>
      <c r="J4" s="24" t="s">
        <v>116</v>
      </c>
    </row>
    <row r="5" spans="3:10" x14ac:dyDescent="0.2">
      <c r="C5" s="23" t="s">
        <v>173</v>
      </c>
      <c r="D5" s="23" t="s">
        <v>104</v>
      </c>
      <c r="G5" s="59">
        <v>15</v>
      </c>
      <c r="H5" s="59">
        <v>5</v>
      </c>
      <c r="I5" s="60" t="s">
        <v>166</v>
      </c>
      <c r="J5" s="59">
        <v>84</v>
      </c>
    </row>
  </sheetData>
  <dataValidations count="1">
    <dataValidation type="list" allowBlank="1" showInputMessage="1" showErrorMessage="1" sqref="C5" xr:uid="{E0366EAB-7347-4E9F-9925-D98D8B3E5ED8}">
      <formula1>SeasonsList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iniciarFiltro">
                <anchor moveWithCells="1" sizeWithCells="1">
                  <from>
                    <xdr:col>11</xdr:col>
                    <xdr:colOff>381000</xdr:colOff>
                    <xdr:row>3</xdr:row>
                    <xdr:rowOff>47625</xdr:rowOff>
                  </from>
                  <to>
                    <xdr:col>13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701B9-8180-4A1D-ADEE-3BA218B245A5}">
          <x14:formula1>
            <xm:f>'Pruebas y desechos'!$B$6:$B$29</xm:f>
          </x14:formula1>
          <xm:sqref>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outlinePr summaryBelow="0" summaryRight="0"/>
  </sheetPr>
  <dimension ref="A1:S71"/>
  <sheetViews>
    <sheetView showGridLines="0" zoomScale="85" zoomScaleNormal="85" workbookViewId="0">
      <selection activeCell="E16" sqref="E16"/>
    </sheetView>
  </sheetViews>
  <sheetFormatPr baseColWidth="10" defaultColWidth="12.5703125" defaultRowHeight="15.75" customHeight="1" x14ac:dyDescent="0.2"/>
  <cols>
    <col min="1" max="1" width="17" bestFit="1" customWidth="1"/>
    <col min="2" max="2" width="23.140625" bestFit="1" customWidth="1"/>
    <col min="3" max="3" width="21.42578125" bestFit="1" customWidth="1"/>
    <col min="4" max="4" width="16.5703125" bestFit="1" customWidth="1"/>
    <col min="5" max="5" width="21.42578125" bestFit="1" customWidth="1"/>
    <col min="6" max="6" width="10.85546875" bestFit="1" customWidth="1"/>
    <col min="7" max="7" width="17.42578125" bestFit="1" customWidth="1"/>
    <col min="8" max="8" width="13.85546875" bestFit="1" customWidth="1"/>
    <col min="9" max="9" width="18.85546875" bestFit="1" customWidth="1"/>
    <col min="10" max="10" width="11.28515625" bestFit="1" customWidth="1"/>
    <col min="11" max="11" width="13.5703125" bestFit="1" customWidth="1"/>
    <col min="12" max="12" width="15.5703125" bestFit="1" customWidth="1"/>
    <col min="13" max="13" width="11.140625" bestFit="1" customWidth="1"/>
    <col min="14" max="14" width="13.7109375" bestFit="1" customWidth="1"/>
    <col min="15" max="15" width="11.5703125" bestFit="1" customWidth="1"/>
    <col min="16" max="16" width="9.5703125" bestFit="1" customWidth="1"/>
    <col min="17" max="17" width="18.5703125" bestFit="1" customWidth="1"/>
    <col min="18" max="18" width="17.42578125" bestFit="1" customWidth="1"/>
    <col min="19" max="19" width="22" bestFit="1" customWidth="1"/>
    <col min="20" max="26" width="12.28515625" bestFit="1" customWidth="1"/>
    <col min="27" max="27" width="12.42578125" bestFit="1" customWidth="1"/>
    <col min="28" max="28" width="13.5703125" bestFit="1" customWidth="1"/>
    <col min="29" max="29" width="7.28515625" bestFit="1" customWidth="1"/>
    <col min="30" max="30" width="14.28515625" bestFit="1" customWidth="1"/>
    <col min="31" max="31" width="16.28515625" bestFit="1" customWidth="1"/>
    <col min="32" max="32" width="14.42578125" bestFit="1" customWidth="1"/>
    <col min="33" max="33" width="12.85546875" bestFit="1" customWidth="1"/>
    <col min="34" max="34" width="11.28515625" bestFit="1" customWidth="1"/>
    <col min="35" max="35" width="12.7109375" bestFit="1" customWidth="1"/>
    <col min="36" max="36" width="14.28515625" bestFit="1" customWidth="1"/>
    <col min="37" max="37" width="19.7109375" bestFit="1" customWidth="1"/>
    <col min="38" max="38" width="11.140625" bestFit="1" customWidth="1"/>
    <col min="39" max="39" width="17.42578125" bestFit="1" customWidth="1"/>
    <col min="40" max="40" width="13.7109375" bestFit="1" customWidth="1"/>
    <col min="41" max="41" width="14" bestFit="1" customWidth="1"/>
    <col min="42" max="42" width="13.85546875" bestFit="1" customWidth="1"/>
    <col min="43" max="43" width="11.85546875" bestFit="1" customWidth="1"/>
    <col min="44" max="44" width="6.140625" bestFit="1" customWidth="1"/>
    <col min="45" max="45" width="8.28515625" bestFit="1" customWidth="1"/>
    <col min="46" max="46" width="14.28515625" bestFit="1" customWidth="1"/>
    <col min="47" max="47" width="11.5703125" bestFit="1" customWidth="1"/>
    <col min="48" max="48" width="14.28515625" bestFit="1" customWidth="1"/>
    <col min="49" max="49" width="9.7109375" bestFit="1" customWidth="1"/>
    <col min="50" max="51" width="13.7109375" bestFit="1" customWidth="1"/>
    <col min="52" max="52" width="13.28515625" bestFit="1" customWidth="1"/>
    <col min="53" max="54" width="13.7109375" bestFit="1" customWidth="1"/>
    <col min="55" max="55" width="6.140625" bestFit="1" customWidth="1"/>
    <col min="56" max="56" width="9.5703125" bestFit="1" customWidth="1"/>
    <col min="57" max="57" width="8.85546875" bestFit="1" customWidth="1"/>
    <col min="58" max="58" width="10.85546875" bestFit="1" customWidth="1"/>
    <col min="59" max="59" width="13.5703125" bestFit="1" customWidth="1"/>
    <col min="60" max="60" width="13.7109375" bestFit="1" customWidth="1"/>
    <col min="61" max="61" width="11.28515625" bestFit="1" customWidth="1"/>
    <col min="62" max="62" width="15.42578125" bestFit="1" customWidth="1"/>
    <col min="63" max="63" width="13.7109375" bestFit="1" customWidth="1"/>
    <col min="64" max="64" width="11.140625" bestFit="1" customWidth="1"/>
    <col min="65" max="65" width="14.42578125" bestFit="1" customWidth="1"/>
    <col min="66" max="66" width="11.140625" bestFit="1" customWidth="1"/>
    <col min="67" max="67" width="16.28515625" bestFit="1" customWidth="1"/>
    <col min="68" max="68" width="15.5703125" bestFit="1" customWidth="1"/>
    <col min="69" max="69" width="15" bestFit="1" customWidth="1"/>
    <col min="70" max="70" width="15.7109375" bestFit="1" customWidth="1"/>
    <col min="71" max="71" width="16.85546875" bestFit="1" customWidth="1"/>
    <col min="72" max="73" width="14.28515625" bestFit="1" customWidth="1"/>
    <col min="74" max="74" width="13.7109375" bestFit="1" customWidth="1"/>
    <col min="75" max="75" width="13.28515625" bestFit="1" customWidth="1"/>
    <col min="76" max="76" width="12.7109375" bestFit="1" customWidth="1"/>
    <col min="77" max="77" width="13.7109375" bestFit="1" customWidth="1"/>
    <col min="78" max="78" width="19.7109375" bestFit="1" customWidth="1"/>
    <col min="79" max="79" width="13.85546875" bestFit="1" customWidth="1"/>
    <col min="80" max="80" width="6.140625" bestFit="1" customWidth="1"/>
    <col min="81" max="81" width="9.5703125" bestFit="1" customWidth="1"/>
    <col min="82" max="82" width="17.42578125" bestFit="1" customWidth="1"/>
    <col min="83" max="83" width="8.85546875" bestFit="1" customWidth="1"/>
    <col min="84" max="84" width="14.28515625" bestFit="1" customWidth="1"/>
    <col min="85" max="85" width="10.85546875" bestFit="1" customWidth="1"/>
    <col min="86" max="86" width="13.5703125" bestFit="1" customWidth="1"/>
    <col min="87" max="87" width="11.28515625" bestFit="1" customWidth="1"/>
    <col min="88" max="88" width="15.42578125" bestFit="1" customWidth="1"/>
    <col min="89" max="89" width="13.7109375" bestFit="1" customWidth="1"/>
    <col min="90" max="90" width="11.140625" bestFit="1" customWidth="1"/>
    <col min="91" max="91" width="14.42578125" bestFit="1" customWidth="1"/>
    <col min="92" max="92" width="11.140625" bestFit="1" customWidth="1"/>
    <col min="93" max="93" width="16.28515625" bestFit="1" customWidth="1"/>
    <col min="94" max="94" width="17.42578125" bestFit="1" customWidth="1"/>
    <col min="95" max="95" width="15.5703125" bestFit="1" customWidth="1"/>
    <col min="96" max="96" width="15.7109375" bestFit="1" customWidth="1"/>
    <col min="97" max="97" width="11.85546875" bestFit="1" customWidth="1"/>
    <col min="98" max="98" width="16.85546875" bestFit="1" customWidth="1"/>
    <col min="99" max="100" width="14.28515625" bestFit="1" customWidth="1"/>
    <col min="101" max="101" width="12.42578125" bestFit="1" customWidth="1"/>
    <col min="102" max="102" width="11" bestFit="1" customWidth="1"/>
    <col min="103" max="103" width="11.5703125" bestFit="1" customWidth="1"/>
  </cols>
  <sheetData>
    <row r="1" spans="1:19" ht="15.75" customHeight="1" x14ac:dyDescent="0.2">
      <c r="G1" s="11"/>
    </row>
    <row r="4" spans="1:19" ht="15.75" customHeight="1" x14ac:dyDescent="0.2">
      <c r="A4" s="81" t="s">
        <v>225</v>
      </c>
      <c r="B4" s="82" t="s">
        <v>232</v>
      </c>
      <c r="D4" s="81" t="s">
        <v>228</v>
      </c>
      <c r="E4" s="81" t="s">
        <v>231</v>
      </c>
      <c r="F4" s="79"/>
      <c r="G4" s="79"/>
      <c r="H4" s="79"/>
      <c r="I4" s="79"/>
      <c r="J4" s="79"/>
      <c r="K4" s="79"/>
      <c r="L4" s="79"/>
      <c r="M4" s="79"/>
      <c r="N4" s="79"/>
      <c r="O4" s="80"/>
      <c r="R4" s="81" t="s">
        <v>225</v>
      </c>
      <c r="S4" s="82" t="s">
        <v>243</v>
      </c>
    </row>
    <row r="5" spans="1:19" ht="15.75" customHeight="1" x14ac:dyDescent="0.2">
      <c r="A5" s="83" t="s">
        <v>102</v>
      </c>
      <c r="B5" s="110">
        <v>20</v>
      </c>
      <c r="D5" s="81" t="s">
        <v>225</v>
      </c>
      <c r="E5" s="78" t="s">
        <v>102</v>
      </c>
      <c r="F5" s="87" t="s">
        <v>103</v>
      </c>
      <c r="G5" s="87" t="s">
        <v>104</v>
      </c>
      <c r="H5" s="87" t="s">
        <v>58</v>
      </c>
      <c r="I5" s="87" t="s">
        <v>124</v>
      </c>
      <c r="J5" s="87" t="s">
        <v>141</v>
      </c>
      <c r="K5" s="87" t="s">
        <v>115</v>
      </c>
      <c r="L5" s="87" t="s">
        <v>119</v>
      </c>
      <c r="M5" s="87" t="s">
        <v>62</v>
      </c>
      <c r="N5" s="87" t="s">
        <v>87</v>
      </c>
      <c r="O5" s="82" t="s">
        <v>226</v>
      </c>
      <c r="R5" s="83" t="s">
        <v>187</v>
      </c>
      <c r="S5" s="128">
        <v>45000</v>
      </c>
    </row>
    <row r="6" spans="1:19" ht="15.75" customHeight="1" x14ac:dyDescent="0.2">
      <c r="A6" s="84" t="s">
        <v>111</v>
      </c>
      <c r="B6" s="111">
        <v>20</v>
      </c>
      <c r="D6" s="83" t="s">
        <v>17</v>
      </c>
      <c r="E6" s="113">
        <v>18</v>
      </c>
      <c r="F6" s="119">
        <v>14</v>
      </c>
      <c r="G6" s="119">
        <v>11</v>
      </c>
      <c r="H6" s="119">
        <v>9</v>
      </c>
      <c r="I6" s="119">
        <v>5</v>
      </c>
      <c r="J6" s="119"/>
      <c r="K6" s="119"/>
      <c r="L6" s="119"/>
      <c r="M6" s="119"/>
      <c r="N6" s="119">
        <v>4</v>
      </c>
      <c r="O6" s="110">
        <v>61</v>
      </c>
      <c r="R6" s="84" t="s">
        <v>137</v>
      </c>
      <c r="S6" s="129">
        <v>48000</v>
      </c>
    </row>
    <row r="7" spans="1:19" ht="15.75" customHeight="1" x14ac:dyDescent="0.2">
      <c r="A7" s="84" t="s">
        <v>110</v>
      </c>
      <c r="B7" s="111">
        <v>18</v>
      </c>
      <c r="D7" s="84" t="s">
        <v>57</v>
      </c>
      <c r="E7" s="115">
        <v>21</v>
      </c>
      <c r="F7" s="120">
        <v>15</v>
      </c>
      <c r="G7" s="120">
        <v>15</v>
      </c>
      <c r="H7" s="120">
        <v>8</v>
      </c>
      <c r="I7" s="120">
        <v>4</v>
      </c>
      <c r="J7" s="120"/>
      <c r="K7" s="120">
        <v>1</v>
      </c>
      <c r="L7" s="120"/>
      <c r="M7" s="120"/>
      <c r="N7" s="120">
        <v>7</v>
      </c>
      <c r="O7" s="111">
        <v>71</v>
      </c>
      <c r="R7" s="84" t="s">
        <v>58</v>
      </c>
      <c r="S7" s="129">
        <v>50000</v>
      </c>
    </row>
    <row r="8" spans="1:19" ht="15.75" customHeight="1" x14ac:dyDescent="0.2">
      <c r="A8" s="84" t="s">
        <v>26</v>
      </c>
      <c r="B8" s="111">
        <v>14</v>
      </c>
      <c r="D8" s="84" t="s">
        <v>107</v>
      </c>
      <c r="E8" s="115">
        <v>30</v>
      </c>
      <c r="F8" s="120">
        <v>19</v>
      </c>
      <c r="G8" s="120">
        <v>17</v>
      </c>
      <c r="H8" s="120">
        <v>6</v>
      </c>
      <c r="I8" s="120">
        <v>2</v>
      </c>
      <c r="J8" s="120">
        <v>6</v>
      </c>
      <c r="K8" s="120">
        <v>12</v>
      </c>
      <c r="L8" s="120">
        <v>4</v>
      </c>
      <c r="M8" s="120">
        <v>7</v>
      </c>
      <c r="N8" s="120"/>
      <c r="O8" s="111">
        <v>103</v>
      </c>
      <c r="R8" s="84" t="s">
        <v>136</v>
      </c>
      <c r="S8" s="129">
        <v>51000</v>
      </c>
    </row>
    <row r="9" spans="1:19" ht="15.75" customHeight="1" x14ac:dyDescent="0.2">
      <c r="A9" s="84" t="s">
        <v>104</v>
      </c>
      <c r="B9" s="111">
        <v>14</v>
      </c>
      <c r="D9" s="84" t="s">
        <v>173</v>
      </c>
      <c r="E9" s="115">
        <v>29</v>
      </c>
      <c r="F9" s="120">
        <v>11</v>
      </c>
      <c r="G9" s="120">
        <v>15</v>
      </c>
      <c r="H9" s="120">
        <v>9</v>
      </c>
      <c r="I9" s="120">
        <v>5</v>
      </c>
      <c r="J9" s="120">
        <v>9</v>
      </c>
      <c r="K9" s="120">
        <v>0</v>
      </c>
      <c r="L9" s="120">
        <v>9</v>
      </c>
      <c r="M9" s="120">
        <v>5</v>
      </c>
      <c r="N9" s="120"/>
      <c r="O9" s="111">
        <v>92</v>
      </c>
      <c r="R9" s="84" t="s">
        <v>119</v>
      </c>
      <c r="S9" s="129">
        <v>55000</v>
      </c>
    </row>
    <row r="10" spans="1:19" ht="15.75" customHeight="1" x14ac:dyDescent="0.2">
      <c r="A10" s="84" t="s">
        <v>124</v>
      </c>
      <c r="B10" s="111">
        <v>14</v>
      </c>
      <c r="D10" s="85" t="s">
        <v>226</v>
      </c>
      <c r="E10" s="117">
        <v>98</v>
      </c>
      <c r="F10" s="121">
        <v>59</v>
      </c>
      <c r="G10" s="121">
        <v>58</v>
      </c>
      <c r="H10" s="121">
        <v>32</v>
      </c>
      <c r="I10" s="121">
        <v>16</v>
      </c>
      <c r="J10" s="121">
        <v>15</v>
      </c>
      <c r="K10" s="121">
        <v>13</v>
      </c>
      <c r="L10" s="121">
        <v>13</v>
      </c>
      <c r="M10" s="121">
        <v>12</v>
      </c>
      <c r="N10" s="121">
        <v>11</v>
      </c>
      <c r="O10" s="112">
        <v>327</v>
      </c>
      <c r="R10" s="84" t="s">
        <v>177</v>
      </c>
      <c r="S10" s="129">
        <v>55000</v>
      </c>
    </row>
    <row r="11" spans="1:19" ht="15.75" customHeight="1" x14ac:dyDescent="0.2">
      <c r="A11" s="84" t="s">
        <v>103</v>
      </c>
      <c r="B11" s="111">
        <v>13</v>
      </c>
      <c r="R11" s="84" t="s">
        <v>178</v>
      </c>
      <c r="S11" s="129">
        <v>65000</v>
      </c>
    </row>
    <row r="12" spans="1:19" ht="15.75" customHeight="1" x14ac:dyDescent="0.2">
      <c r="A12" s="84" t="s">
        <v>18</v>
      </c>
      <c r="B12" s="111">
        <v>11</v>
      </c>
      <c r="D12" s="81" t="s">
        <v>225</v>
      </c>
      <c r="E12" s="82" t="s">
        <v>240</v>
      </c>
      <c r="R12" s="84" t="s">
        <v>142</v>
      </c>
      <c r="S12" s="129">
        <v>100000</v>
      </c>
    </row>
    <row r="13" spans="1:19" ht="15.75" customHeight="1" x14ac:dyDescent="0.2">
      <c r="A13" s="84" t="s">
        <v>83</v>
      </c>
      <c r="B13" s="111">
        <v>11</v>
      </c>
      <c r="D13" s="83" t="s">
        <v>17</v>
      </c>
      <c r="E13" s="123">
        <v>6.6468181818181815</v>
      </c>
      <c r="R13" s="84" t="s">
        <v>191</v>
      </c>
      <c r="S13" s="129">
        <v>108000</v>
      </c>
    </row>
    <row r="14" spans="1:19" ht="15.75" customHeight="1" x14ac:dyDescent="0.2">
      <c r="A14" s="95" t="s">
        <v>115</v>
      </c>
      <c r="B14" s="122">
        <v>11</v>
      </c>
      <c r="D14" s="84" t="s">
        <v>57</v>
      </c>
      <c r="E14" s="124">
        <v>6.485833333333332</v>
      </c>
      <c r="R14" s="95" t="s">
        <v>186</v>
      </c>
      <c r="S14" s="130">
        <v>135000</v>
      </c>
    </row>
    <row r="15" spans="1:19" ht="15.75" customHeight="1" x14ac:dyDescent="0.2">
      <c r="D15" s="84" t="s">
        <v>107</v>
      </c>
      <c r="E15" s="124">
        <v>6.5482608695652154</v>
      </c>
    </row>
    <row r="16" spans="1:19" ht="15.75" customHeight="1" x14ac:dyDescent="0.2">
      <c r="D16" s="95" t="s">
        <v>173</v>
      </c>
      <c r="E16" s="125">
        <v>6.5955172413793104</v>
      </c>
    </row>
    <row r="18" spans="1:19" ht="15.75" customHeight="1" x14ac:dyDescent="0.2">
      <c r="A18" s="81" t="s">
        <v>225</v>
      </c>
      <c r="B18" s="82" t="s">
        <v>229</v>
      </c>
    </row>
    <row r="19" spans="1:19" ht="15.75" customHeight="1" x14ac:dyDescent="0.2">
      <c r="A19" s="83" t="s">
        <v>43</v>
      </c>
      <c r="B19" s="110">
        <v>8</v>
      </c>
    </row>
    <row r="20" spans="1:19" ht="15.75" customHeight="1" x14ac:dyDescent="0.2">
      <c r="A20" s="84" t="s">
        <v>23</v>
      </c>
      <c r="B20" s="111">
        <v>12</v>
      </c>
      <c r="R20" s="81" t="s">
        <v>225</v>
      </c>
      <c r="S20" s="82" t="s">
        <v>244</v>
      </c>
    </row>
    <row r="21" spans="1:19" ht="15.75" customHeight="1" x14ac:dyDescent="0.2">
      <c r="A21" s="84" t="s">
        <v>47</v>
      </c>
      <c r="B21" s="111">
        <v>2</v>
      </c>
      <c r="R21" s="83" t="s">
        <v>30</v>
      </c>
      <c r="S21" s="126">
        <v>14400000</v>
      </c>
    </row>
    <row r="22" spans="1:19" ht="15.75" customHeight="1" x14ac:dyDescent="0.2">
      <c r="A22" s="84" t="s">
        <v>54</v>
      </c>
      <c r="B22" s="111">
        <v>6</v>
      </c>
      <c r="R22" s="84" t="s">
        <v>74</v>
      </c>
      <c r="S22" s="127">
        <v>22000000</v>
      </c>
    </row>
    <row r="23" spans="1:19" ht="15.75" customHeight="1" x14ac:dyDescent="0.2">
      <c r="A23" s="85" t="s">
        <v>226</v>
      </c>
      <c r="B23" s="112">
        <v>28</v>
      </c>
      <c r="R23" s="84" t="s">
        <v>136</v>
      </c>
      <c r="S23" s="127">
        <v>25000000</v>
      </c>
    </row>
    <row r="24" spans="1:19" ht="15.75" customHeight="1" x14ac:dyDescent="0.2">
      <c r="R24" s="84" t="s">
        <v>66</v>
      </c>
      <c r="S24" s="127">
        <v>32500000</v>
      </c>
    </row>
    <row r="25" spans="1:19" ht="15.75" customHeight="1" x14ac:dyDescent="0.2">
      <c r="R25" s="84" t="s">
        <v>142</v>
      </c>
      <c r="S25" s="127">
        <v>60000000</v>
      </c>
    </row>
    <row r="26" spans="1:19" ht="15.75" customHeight="1" x14ac:dyDescent="0.2">
      <c r="R26" s="84" t="s">
        <v>87</v>
      </c>
      <c r="S26" s="127">
        <v>70100000</v>
      </c>
    </row>
    <row r="27" spans="1:19" ht="15.75" customHeight="1" x14ac:dyDescent="0.2">
      <c r="A27" s="81" t="s">
        <v>225</v>
      </c>
      <c r="B27" s="82" t="s">
        <v>229</v>
      </c>
      <c r="R27" s="85" t="s">
        <v>226</v>
      </c>
      <c r="S27" s="112">
        <v>224000000</v>
      </c>
    </row>
    <row r="28" spans="1:19" ht="15.75" customHeight="1" x14ac:dyDescent="0.2">
      <c r="A28" s="83" t="s">
        <v>72</v>
      </c>
      <c r="B28" s="110">
        <v>4</v>
      </c>
    </row>
    <row r="29" spans="1:19" ht="15.75" customHeight="1" x14ac:dyDescent="0.2">
      <c r="A29" s="84" t="s">
        <v>38</v>
      </c>
      <c r="B29" s="111">
        <v>3</v>
      </c>
    </row>
    <row r="30" spans="1:19" ht="15.75" customHeight="1" x14ac:dyDescent="0.2">
      <c r="A30" s="84" t="s">
        <v>42</v>
      </c>
      <c r="B30" s="111">
        <v>4</v>
      </c>
    </row>
    <row r="31" spans="1:19" ht="15.75" customHeight="1" x14ac:dyDescent="0.2">
      <c r="A31" s="84" t="s">
        <v>52</v>
      </c>
      <c r="B31" s="111">
        <v>2</v>
      </c>
    </row>
    <row r="32" spans="1:19" ht="15.75" customHeight="1" x14ac:dyDescent="0.2">
      <c r="A32" s="84" t="s">
        <v>20</v>
      </c>
      <c r="B32" s="111">
        <v>6</v>
      </c>
    </row>
    <row r="33" spans="1:16" ht="15.75" customHeight="1" x14ac:dyDescent="0.2">
      <c r="A33" s="84" t="s">
        <v>85</v>
      </c>
      <c r="B33" s="111">
        <v>2</v>
      </c>
    </row>
    <row r="34" spans="1:16" ht="15.75" customHeight="1" x14ac:dyDescent="0.2">
      <c r="A34" s="84" t="s">
        <v>32</v>
      </c>
      <c r="B34" s="111">
        <v>5</v>
      </c>
    </row>
    <row r="35" spans="1:16" ht="15.75" customHeight="1" x14ac:dyDescent="0.2">
      <c r="A35" s="84" t="s">
        <v>88</v>
      </c>
      <c r="B35" s="111">
        <v>1</v>
      </c>
    </row>
    <row r="36" spans="1:16" ht="15.75" customHeight="1" x14ac:dyDescent="0.2">
      <c r="A36" s="84" t="s">
        <v>192</v>
      </c>
      <c r="B36" s="111">
        <v>1</v>
      </c>
    </row>
    <row r="37" spans="1:16" ht="15.75" customHeight="1" x14ac:dyDescent="0.2">
      <c r="A37" s="85" t="s">
        <v>226</v>
      </c>
      <c r="B37" s="112">
        <v>28</v>
      </c>
    </row>
    <row r="40" spans="1:16" ht="15.75" customHeight="1" x14ac:dyDescent="0.2">
      <c r="G40" s="81" t="s">
        <v>225</v>
      </c>
      <c r="H40" s="78" t="s">
        <v>228</v>
      </c>
      <c r="I40" s="86" t="s">
        <v>230</v>
      </c>
    </row>
    <row r="41" spans="1:16" ht="15.75" customHeight="1" x14ac:dyDescent="0.2">
      <c r="G41" s="83" t="s">
        <v>124</v>
      </c>
      <c r="H41" s="113">
        <v>16</v>
      </c>
      <c r="I41" s="114">
        <v>31</v>
      </c>
    </row>
    <row r="42" spans="1:16" ht="15.75" customHeight="1" x14ac:dyDescent="0.2">
      <c r="G42" s="84" t="s">
        <v>115</v>
      </c>
      <c r="H42" s="115">
        <v>13</v>
      </c>
      <c r="I42" s="116">
        <v>11</v>
      </c>
    </row>
    <row r="43" spans="1:16" ht="15.75" customHeight="1" x14ac:dyDescent="0.2">
      <c r="A43" s="81" t="s">
        <v>225</v>
      </c>
      <c r="B43" s="82" t="s">
        <v>233</v>
      </c>
      <c r="G43" s="84" t="s">
        <v>83</v>
      </c>
      <c r="H43" s="115">
        <v>7</v>
      </c>
      <c r="I43" s="116">
        <v>13</v>
      </c>
    </row>
    <row r="44" spans="1:16" ht="15.75" customHeight="1" x14ac:dyDescent="0.2">
      <c r="A44" s="83" t="s">
        <v>112</v>
      </c>
      <c r="B44" s="110">
        <v>114</v>
      </c>
      <c r="G44" s="84" t="s">
        <v>191</v>
      </c>
      <c r="H44" s="115">
        <v>7</v>
      </c>
      <c r="I44" s="116">
        <v>10</v>
      </c>
    </row>
    <row r="45" spans="1:16" ht="15.75" customHeight="1" x14ac:dyDescent="0.2">
      <c r="A45" s="84" t="s">
        <v>104</v>
      </c>
      <c r="B45" s="111">
        <v>122</v>
      </c>
      <c r="G45" s="84" t="s">
        <v>102</v>
      </c>
      <c r="H45" s="115">
        <v>98</v>
      </c>
      <c r="I45" s="116">
        <v>31</v>
      </c>
      <c r="N45" s="81" t="s">
        <v>225</v>
      </c>
      <c r="O45" s="78" t="s">
        <v>236</v>
      </c>
      <c r="P45" s="86" t="s">
        <v>237</v>
      </c>
    </row>
    <row r="46" spans="1:16" ht="15.75" customHeight="1" x14ac:dyDescent="0.2">
      <c r="A46" s="84" t="s">
        <v>124</v>
      </c>
      <c r="B46" s="111">
        <v>129</v>
      </c>
      <c r="G46" s="84" t="s">
        <v>103</v>
      </c>
      <c r="H46" s="115">
        <v>59</v>
      </c>
      <c r="I46" s="116">
        <v>43</v>
      </c>
      <c r="N46" s="83" t="s">
        <v>17</v>
      </c>
      <c r="O46" s="113">
        <v>26</v>
      </c>
      <c r="P46" s="114">
        <v>5</v>
      </c>
    </row>
    <row r="47" spans="1:16" ht="15.75" customHeight="1" x14ac:dyDescent="0.2">
      <c r="A47" s="84" t="s">
        <v>58</v>
      </c>
      <c r="B47" s="111">
        <v>137</v>
      </c>
      <c r="G47" s="84" t="s">
        <v>141</v>
      </c>
      <c r="H47" s="115">
        <v>15</v>
      </c>
      <c r="I47" s="116">
        <v>10</v>
      </c>
      <c r="N47" s="84" t="s">
        <v>57</v>
      </c>
      <c r="O47" s="115">
        <v>15</v>
      </c>
      <c r="P47" s="116">
        <v>2</v>
      </c>
    </row>
    <row r="48" spans="1:16" ht="15.75" customHeight="1" x14ac:dyDescent="0.2">
      <c r="A48" s="84" t="s">
        <v>83</v>
      </c>
      <c r="B48" s="111">
        <v>138</v>
      </c>
      <c r="G48" s="84" t="s">
        <v>104</v>
      </c>
      <c r="H48" s="115">
        <v>58</v>
      </c>
      <c r="I48" s="116">
        <v>20</v>
      </c>
      <c r="N48" s="84" t="s">
        <v>107</v>
      </c>
      <c r="O48" s="115">
        <v>34</v>
      </c>
      <c r="P48" s="116">
        <v>4</v>
      </c>
    </row>
    <row r="49" spans="1:16" ht="15.75" customHeight="1" x14ac:dyDescent="0.2">
      <c r="A49" s="84" t="s">
        <v>103</v>
      </c>
      <c r="B49" s="111">
        <v>149</v>
      </c>
      <c r="G49" s="84" t="s">
        <v>62</v>
      </c>
      <c r="H49" s="115">
        <v>12</v>
      </c>
      <c r="I49" s="116">
        <v>6</v>
      </c>
      <c r="N49" s="84" t="s">
        <v>173</v>
      </c>
      <c r="O49" s="115">
        <v>34</v>
      </c>
      <c r="P49" s="116">
        <v>4</v>
      </c>
    </row>
    <row r="50" spans="1:16" ht="15.75" customHeight="1" x14ac:dyDescent="0.2">
      <c r="A50" s="84" t="s">
        <v>26</v>
      </c>
      <c r="B50" s="111">
        <v>153</v>
      </c>
      <c r="G50" s="84" t="s">
        <v>119</v>
      </c>
      <c r="H50" s="115">
        <v>13</v>
      </c>
      <c r="I50" s="116">
        <v>13</v>
      </c>
      <c r="N50" s="85" t="s">
        <v>226</v>
      </c>
      <c r="O50" s="117">
        <v>109</v>
      </c>
      <c r="P50" s="118">
        <v>15</v>
      </c>
    </row>
    <row r="51" spans="1:16" ht="15.75" customHeight="1" x14ac:dyDescent="0.2">
      <c r="A51" s="84" t="s">
        <v>111</v>
      </c>
      <c r="B51" s="111">
        <v>164</v>
      </c>
      <c r="G51" s="84" t="s">
        <v>58</v>
      </c>
      <c r="H51" s="115">
        <v>32</v>
      </c>
      <c r="I51" s="116">
        <v>25</v>
      </c>
    </row>
    <row r="52" spans="1:16" ht="15.75" customHeight="1" x14ac:dyDescent="0.2">
      <c r="A52" s="84" t="s">
        <v>102</v>
      </c>
      <c r="B52" s="111">
        <v>169</v>
      </c>
      <c r="G52" s="84" t="s">
        <v>87</v>
      </c>
      <c r="H52" s="115">
        <v>11</v>
      </c>
      <c r="I52" s="116">
        <v>6</v>
      </c>
    </row>
    <row r="53" spans="1:16" ht="15.75" customHeight="1" x14ac:dyDescent="0.2">
      <c r="A53" s="95" t="s">
        <v>110</v>
      </c>
      <c r="B53" s="122">
        <v>185</v>
      </c>
      <c r="G53" s="85" t="s">
        <v>226</v>
      </c>
      <c r="H53" s="117">
        <v>341</v>
      </c>
      <c r="I53" s="118">
        <v>219</v>
      </c>
    </row>
    <row r="58" spans="1:16" ht="15.75" customHeight="1" x14ac:dyDescent="0.2">
      <c r="M58" s="81" t="s">
        <v>225</v>
      </c>
      <c r="N58" s="78" t="s">
        <v>238</v>
      </c>
      <c r="O58" s="86" t="s">
        <v>239</v>
      </c>
    </row>
    <row r="59" spans="1:16" ht="15.75" customHeight="1" x14ac:dyDescent="0.2">
      <c r="G59" s="81" t="s">
        <v>225</v>
      </c>
      <c r="H59" s="78" t="s">
        <v>6</v>
      </c>
      <c r="I59" s="87" t="s">
        <v>234</v>
      </c>
      <c r="J59" s="86" t="s">
        <v>235</v>
      </c>
      <c r="M59" s="83" t="s">
        <v>17</v>
      </c>
      <c r="N59" s="113">
        <v>80</v>
      </c>
      <c r="O59" s="114">
        <v>54</v>
      </c>
    </row>
    <row r="60" spans="1:16" ht="15.75" customHeight="1" x14ac:dyDescent="0.2">
      <c r="G60" s="83" t="s">
        <v>177</v>
      </c>
      <c r="H60" s="96">
        <v>25500000</v>
      </c>
      <c r="I60" s="102">
        <v>0</v>
      </c>
      <c r="J60" s="99">
        <v>25500000</v>
      </c>
      <c r="M60" s="84" t="s">
        <v>57</v>
      </c>
      <c r="N60" s="115">
        <v>84</v>
      </c>
      <c r="O60" s="116">
        <v>63</v>
      </c>
    </row>
    <row r="61" spans="1:16" ht="15.75" customHeight="1" x14ac:dyDescent="0.2">
      <c r="G61" s="84" t="s">
        <v>191</v>
      </c>
      <c r="H61" s="97">
        <v>105000000</v>
      </c>
      <c r="I61" s="103">
        <v>88400000</v>
      </c>
      <c r="J61" s="100">
        <v>16600000</v>
      </c>
      <c r="M61" s="84" t="s">
        <v>107</v>
      </c>
      <c r="N61" s="115">
        <v>117</v>
      </c>
      <c r="O61" s="116">
        <v>102</v>
      </c>
    </row>
    <row r="62" spans="1:16" ht="15.75" customHeight="1" x14ac:dyDescent="0.2">
      <c r="G62" s="84" t="s">
        <v>186</v>
      </c>
      <c r="H62" s="97">
        <v>84000000</v>
      </c>
      <c r="I62" s="103">
        <v>70000000</v>
      </c>
      <c r="J62" s="100">
        <v>14000000</v>
      </c>
      <c r="M62" s="84" t="s">
        <v>173</v>
      </c>
      <c r="N62" s="115">
        <v>116</v>
      </c>
      <c r="O62" s="116">
        <v>93</v>
      </c>
    </row>
    <row r="63" spans="1:16" ht="15.75" customHeight="1" x14ac:dyDescent="0.2">
      <c r="G63" s="84" t="s">
        <v>137</v>
      </c>
      <c r="H63" s="97">
        <v>55000000</v>
      </c>
      <c r="I63" s="103">
        <v>62000000</v>
      </c>
      <c r="J63" s="100">
        <v>-7000000</v>
      </c>
      <c r="M63" s="85" t="s">
        <v>226</v>
      </c>
      <c r="N63" s="117">
        <v>397</v>
      </c>
      <c r="O63" s="118">
        <v>312</v>
      </c>
    </row>
    <row r="64" spans="1:16" ht="15.75" customHeight="1" x14ac:dyDescent="0.2">
      <c r="G64" s="84" t="s">
        <v>141</v>
      </c>
      <c r="H64" s="97">
        <v>52000000</v>
      </c>
      <c r="I64" s="103">
        <v>58300000</v>
      </c>
      <c r="J64" s="100">
        <v>-6300000</v>
      </c>
    </row>
    <row r="65" spans="7:10" ht="15.75" customHeight="1" x14ac:dyDescent="0.2">
      <c r="G65" s="84" t="s">
        <v>119</v>
      </c>
      <c r="H65" s="97">
        <v>41500000</v>
      </c>
      <c r="I65" s="103">
        <v>40000000</v>
      </c>
      <c r="J65" s="100">
        <v>1500000</v>
      </c>
    </row>
    <row r="66" spans="7:10" ht="15.75" customHeight="1" x14ac:dyDescent="0.2">
      <c r="G66" s="84" t="s">
        <v>136</v>
      </c>
      <c r="H66" s="97">
        <v>20000000</v>
      </c>
      <c r="I66" s="103">
        <v>0</v>
      </c>
      <c r="J66" s="100">
        <v>20000000</v>
      </c>
    </row>
    <row r="67" spans="7:10" ht="15.75" customHeight="1" x14ac:dyDescent="0.2">
      <c r="G67" s="84" t="s">
        <v>142</v>
      </c>
      <c r="H67" s="97">
        <v>74000000</v>
      </c>
      <c r="I67" s="103">
        <v>66000000</v>
      </c>
      <c r="J67" s="100">
        <v>8000000</v>
      </c>
    </row>
    <row r="68" spans="7:10" ht="15.75" customHeight="1" x14ac:dyDescent="0.2">
      <c r="G68" s="84" t="s">
        <v>187</v>
      </c>
      <c r="H68" s="97">
        <v>28500000</v>
      </c>
      <c r="I68" s="103">
        <v>36000000</v>
      </c>
      <c r="J68" s="100">
        <v>-7500000</v>
      </c>
    </row>
    <row r="69" spans="7:10" ht="15.75" customHeight="1" x14ac:dyDescent="0.2">
      <c r="G69" s="84" t="s">
        <v>87</v>
      </c>
      <c r="H69" s="97">
        <v>31000000</v>
      </c>
      <c r="I69" s="103">
        <v>25400000</v>
      </c>
      <c r="J69" s="100">
        <v>5600000</v>
      </c>
    </row>
    <row r="70" spans="7:10" ht="15.75" customHeight="1" x14ac:dyDescent="0.2">
      <c r="G70" s="84" t="s">
        <v>174</v>
      </c>
      <c r="H70" s="97">
        <v>43500000</v>
      </c>
      <c r="I70" s="103">
        <v>37400000</v>
      </c>
      <c r="J70" s="100">
        <v>6100000</v>
      </c>
    </row>
    <row r="71" spans="7:10" ht="15.75" customHeight="1" x14ac:dyDescent="0.2">
      <c r="G71" s="95" t="s">
        <v>178</v>
      </c>
      <c r="H71" s="98">
        <v>61500000</v>
      </c>
      <c r="I71" s="104">
        <v>69000000</v>
      </c>
      <c r="J71" s="101">
        <v>-7500000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BBF53-83DD-4BDB-AEA9-FD0D0A415AB0}">
  <dimension ref="C6:H14"/>
  <sheetViews>
    <sheetView showGridLines="0" showRowColHeaders="0" tabSelected="1" workbookViewId="0">
      <selection activeCell="X8" sqref="X8"/>
    </sheetView>
  </sheetViews>
  <sheetFormatPr baseColWidth="10" defaultRowHeight="12.75" x14ac:dyDescent="0.2"/>
  <cols>
    <col min="1" max="1" width="2.140625" style="106" customWidth="1"/>
    <col min="2" max="16384" width="11.42578125" style="106"/>
  </cols>
  <sheetData>
    <row r="6" spans="3:8" x14ac:dyDescent="0.2">
      <c r="C6" s="105"/>
    </row>
    <row r="14" spans="3:8" x14ac:dyDescent="0.2">
      <c r="H14" s="10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44C65-5C3E-4613-BAEC-7875334B0BAE}">
  <dimension ref="C6:H14"/>
  <sheetViews>
    <sheetView showGridLines="0" showRowColHeaders="0" workbookViewId="0">
      <selection activeCell="Q5" sqref="Q5"/>
    </sheetView>
  </sheetViews>
  <sheetFormatPr baseColWidth="10" defaultRowHeight="12.75" x14ac:dyDescent="0.2"/>
  <cols>
    <col min="1" max="1" width="2.140625" style="106" customWidth="1"/>
    <col min="2" max="16384" width="11.42578125" style="106"/>
  </cols>
  <sheetData>
    <row r="6" spans="3:8" x14ac:dyDescent="0.2">
      <c r="C6" s="105"/>
    </row>
    <row r="14" spans="3:8" x14ac:dyDescent="0.2">
      <c r="H14" s="10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8AE45-082D-4174-9D31-6826DF8D5639}">
  <sheetPr codeName="Hoja4"/>
  <dimension ref="B5:K47"/>
  <sheetViews>
    <sheetView topLeftCell="A4" workbookViewId="0">
      <selection activeCell="E16" sqref="E16"/>
    </sheetView>
  </sheetViews>
  <sheetFormatPr baseColWidth="10" defaultRowHeight="12.75" x14ac:dyDescent="0.2"/>
  <cols>
    <col min="2" max="2" width="18.5703125" bestFit="1" customWidth="1"/>
    <col min="6" max="6" width="13.28515625" customWidth="1"/>
    <col min="10" max="10" width="20.5703125" customWidth="1"/>
    <col min="11" max="11" width="21.5703125" customWidth="1"/>
  </cols>
  <sheetData>
    <row r="5" spans="2:11" x14ac:dyDescent="0.2">
      <c r="B5" s="26" t="s">
        <v>125</v>
      </c>
      <c r="J5" s="26" t="s">
        <v>241</v>
      </c>
      <c r="K5" s="26" t="s">
        <v>242</v>
      </c>
    </row>
    <row r="6" spans="2:11" x14ac:dyDescent="0.2">
      <c r="B6" t="str" cm="1">
        <f t="array" ref="B6:B47">_xlfn.UNIQUE(EstadisticasJugadores[Nombre])</f>
        <v>Alvaro Aguado</v>
      </c>
      <c r="D6" cm="1">
        <f t="array" ref="D6:D10">_xlfn.SEQUENCE(5,1,22,1)</f>
        <v>22</v>
      </c>
      <c r="F6" s="12" t="s">
        <v>106</v>
      </c>
      <c r="J6">
        <v>1</v>
      </c>
      <c r="K6" t="s">
        <v>41</v>
      </c>
    </row>
    <row r="7" spans="2:11" x14ac:dyDescent="0.2">
      <c r="B7" t="str">
        <v>Szymon Zurkowski</v>
      </c>
      <c r="D7">
        <v>23</v>
      </c>
      <c r="F7" t="str">
        <f>_xlfn.CONCAT(D6,"/",D7)</f>
        <v>22/23</v>
      </c>
      <c r="J7">
        <v>2</v>
      </c>
      <c r="K7" t="s">
        <v>58</v>
      </c>
    </row>
    <row r="8" spans="2:11" x14ac:dyDescent="0.2">
      <c r="B8" t="str">
        <v>Dennis Man</v>
      </c>
      <c r="D8">
        <v>24</v>
      </c>
      <c r="F8" t="str">
        <f t="shared" ref="F8:F25" si="0">_xlfn.CONCAT(D7,"/",D8)</f>
        <v>23/24</v>
      </c>
      <c r="J8">
        <v>3</v>
      </c>
      <c r="K8" t="s">
        <v>103</v>
      </c>
    </row>
    <row r="9" spans="2:11" x14ac:dyDescent="0.2">
      <c r="B9" t="str">
        <v>Adrián Bernabé</v>
      </c>
      <c r="D9">
        <v>25</v>
      </c>
      <c r="F9" t="str">
        <f t="shared" si="0"/>
        <v>24/25</v>
      </c>
      <c r="J9">
        <v>4</v>
      </c>
      <c r="K9" t="s">
        <v>124</v>
      </c>
    </row>
    <row r="10" spans="2:11" x14ac:dyDescent="0.2">
      <c r="B10" t="str">
        <v>Franco Fagúndez</v>
      </c>
      <c r="D10">
        <v>26</v>
      </c>
      <c r="F10" t="str">
        <f t="shared" si="0"/>
        <v>25/26</v>
      </c>
      <c r="J10">
        <v>5</v>
      </c>
      <c r="K10" t="s">
        <v>104</v>
      </c>
    </row>
    <row r="11" spans="2:11" x14ac:dyDescent="0.2">
      <c r="B11" t="str">
        <v>Wilfried Gnonto</v>
      </c>
      <c r="J11">
        <v>6</v>
      </c>
      <c r="K11" t="s">
        <v>87</v>
      </c>
    </row>
    <row r="12" spans="2:11" x14ac:dyDescent="0.2">
      <c r="B12" t="str">
        <v>Buffon</v>
      </c>
      <c r="J12">
        <v>7</v>
      </c>
      <c r="K12" t="s">
        <v>110</v>
      </c>
    </row>
    <row r="13" spans="2:11" x14ac:dyDescent="0.2">
      <c r="B13" t="str">
        <v>Cannavaro</v>
      </c>
      <c r="J13">
        <v>8</v>
      </c>
      <c r="K13" t="s">
        <v>111</v>
      </c>
    </row>
    <row r="14" spans="2:11" x14ac:dyDescent="0.2">
      <c r="B14" t="str">
        <v>Cresposo</v>
      </c>
      <c r="J14">
        <v>9</v>
      </c>
      <c r="K14" t="s">
        <v>102</v>
      </c>
    </row>
    <row r="15" spans="2:11" x14ac:dyDescent="0.2">
      <c r="B15" t="str">
        <v>Frankie Amaya</v>
      </c>
      <c r="J15">
        <v>10</v>
      </c>
      <c r="K15" t="s">
        <v>36</v>
      </c>
    </row>
    <row r="16" spans="2:11" x14ac:dyDescent="0.2">
      <c r="B16" t="str">
        <v>Hernani</v>
      </c>
      <c r="J16">
        <v>11</v>
      </c>
      <c r="K16" t="s">
        <v>105</v>
      </c>
    </row>
    <row r="17" spans="2:11" x14ac:dyDescent="0.2">
      <c r="B17" t="str">
        <v>Ian Maatsen</v>
      </c>
      <c r="J17">
        <v>12</v>
      </c>
      <c r="K17" t="s">
        <v>66</v>
      </c>
    </row>
    <row r="18" spans="2:11" x14ac:dyDescent="0.2">
      <c r="B18" t="str">
        <v>Brandon Soppy</v>
      </c>
      <c r="J18">
        <v>13</v>
      </c>
      <c r="K18" t="s">
        <v>83</v>
      </c>
    </row>
    <row r="19" spans="2:11" x14ac:dyDescent="0.2">
      <c r="B19" t="str">
        <v>Giorgio Scalvini</v>
      </c>
      <c r="J19">
        <v>14</v>
      </c>
      <c r="K19" t="s">
        <v>26</v>
      </c>
    </row>
    <row r="20" spans="2:11" x14ac:dyDescent="0.2">
      <c r="B20" t="str">
        <v>Ibrahima Bamba</v>
      </c>
      <c r="J20">
        <v>15</v>
      </c>
      <c r="K20" t="s">
        <v>18</v>
      </c>
    </row>
    <row r="21" spans="2:11" x14ac:dyDescent="0.2">
      <c r="B21" t="str">
        <v>Pozuelo</v>
      </c>
      <c r="J21">
        <v>16</v>
      </c>
      <c r="K21" t="s">
        <v>74</v>
      </c>
    </row>
    <row r="22" spans="2:11" x14ac:dyDescent="0.2">
      <c r="B22" t="str">
        <v>Hugo Bueno</v>
      </c>
      <c r="J22">
        <v>17</v>
      </c>
      <c r="K22" t="s">
        <v>30</v>
      </c>
    </row>
    <row r="23" spans="2:11" x14ac:dyDescent="0.2">
      <c r="B23" t="str">
        <v>Valentin Gomez</v>
      </c>
      <c r="J23">
        <v>18</v>
      </c>
      <c r="K23" t="s">
        <v>112</v>
      </c>
    </row>
    <row r="24" spans="2:11" x14ac:dyDescent="0.2">
      <c r="B24" t="str">
        <v>Wijnaldum</v>
      </c>
      <c r="J24">
        <v>19</v>
      </c>
      <c r="K24" t="s">
        <v>113</v>
      </c>
    </row>
    <row r="25" spans="2:11" x14ac:dyDescent="0.2">
      <c r="B25" t="str">
        <v>Enrico Delprato</v>
      </c>
      <c r="J25">
        <v>20</v>
      </c>
      <c r="K25" t="s">
        <v>123</v>
      </c>
    </row>
    <row r="26" spans="2:11" x14ac:dyDescent="0.2">
      <c r="B26" t="str">
        <v>Marco Capuano</v>
      </c>
      <c r="J26">
        <v>21</v>
      </c>
      <c r="K26" t="s">
        <v>77</v>
      </c>
    </row>
    <row r="27" spans="2:11" x14ac:dyDescent="0.2">
      <c r="B27" t="str">
        <v>Stanko Juric</v>
      </c>
      <c r="J27">
        <v>22</v>
      </c>
      <c r="K27" t="s">
        <v>122</v>
      </c>
    </row>
    <row r="28" spans="2:11" x14ac:dyDescent="0.2">
      <c r="B28" t="str">
        <v>Pääsuke</v>
      </c>
      <c r="J28">
        <v>23</v>
      </c>
      <c r="K28" t="s">
        <v>114</v>
      </c>
    </row>
    <row r="29" spans="2:11" x14ac:dyDescent="0.2">
      <c r="B29" t="str">
        <v>Adrián Serrano</v>
      </c>
      <c r="J29">
        <v>24</v>
      </c>
      <c r="K29" t="s">
        <v>115</v>
      </c>
    </row>
    <row r="30" spans="2:11" x14ac:dyDescent="0.2">
      <c r="B30" t="str">
        <v>Lorenzo Pellegrini</v>
      </c>
      <c r="J30">
        <v>25</v>
      </c>
      <c r="K30" t="s">
        <v>142</v>
      </c>
    </row>
    <row r="31" spans="2:11" x14ac:dyDescent="0.2">
      <c r="B31" t="str">
        <v>Khéphren Thuram</v>
      </c>
      <c r="J31">
        <v>26</v>
      </c>
      <c r="K31" t="s">
        <v>119</v>
      </c>
    </row>
    <row r="32" spans="2:11" x14ac:dyDescent="0.2">
      <c r="B32" t="str">
        <v>Fabio Miretti</v>
      </c>
      <c r="J32">
        <v>27</v>
      </c>
      <c r="K32" t="s">
        <v>141</v>
      </c>
    </row>
    <row r="33" spans="2:11" x14ac:dyDescent="0.2">
      <c r="B33" t="str">
        <v>Leandro Paredes</v>
      </c>
      <c r="J33">
        <v>28</v>
      </c>
      <c r="K33" t="s">
        <v>136</v>
      </c>
    </row>
    <row r="34" spans="2:11" x14ac:dyDescent="0.2">
      <c r="B34" t="str">
        <v>Destiny Udogie</v>
      </c>
      <c r="J34">
        <v>29</v>
      </c>
      <c r="K34" t="s">
        <v>137</v>
      </c>
    </row>
    <row r="35" spans="2:11" x14ac:dyDescent="0.2">
      <c r="B35" t="str">
        <v>Vincenzo Longo</v>
      </c>
      <c r="J35">
        <v>30</v>
      </c>
      <c r="K35" t="s">
        <v>164</v>
      </c>
    </row>
    <row r="36" spans="2:11" x14ac:dyDescent="0.2">
      <c r="B36" t="str">
        <v>Isac Nilsson</v>
      </c>
      <c r="J36">
        <v>31</v>
      </c>
      <c r="K36" t="s">
        <v>62</v>
      </c>
    </row>
    <row r="37" spans="2:11" x14ac:dyDescent="0.2">
      <c r="B37" t="str">
        <v>Andrus Rebane</v>
      </c>
      <c r="J37">
        <v>32</v>
      </c>
      <c r="K37" t="s">
        <v>170</v>
      </c>
    </row>
    <row r="38" spans="2:11" x14ac:dyDescent="0.2">
      <c r="B38" t="str">
        <v>Jerome Roussillon</v>
      </c>
      <c r="J38">
        <v>33</v>
      </c>
      <c r="K38" t="s">
        <v>172</v>
      </c>
    </row>
    <row r="39" spans="2:11" x14ac:dyDescent="0.2">
      <c r="B39" t="str">
        <v>Wilfried Singo</v>
      </c>
      <c r="J39">
        <v>34</v>
      </c>
      <c r="K39" t="s">
        <v>174</v>
      </c>
    </row>
    <row r="40" spans="2:11" x14ac:dyDescent="0.2">
      <c r="B40" t="str">
        <v>Xavi Simons</v>
      </c>
      <c r="J40">
        <v>35</v>
      </c>
      <c r="K40" t="s">
        <v>178</v>
      </c>
    </row>
    <row r="41" spans="2:11" x14ac:dyDescent="0.2">
      <c r="B41" t="str">
        <v>Bryan Cristante</v>
      </c>
      <c r="J41">
        <v>36</v>
      </c>
      <c r="K41" t="s">
        <v>177</v>
      </c>
    </row>
    <row r="42" spans="2:11" x14ac:dyDescent="0.2">
      <c r="B42" t="str">
        <v>Cristian Romero</v>
      </c>
      <c r="J42">
        <v>37</v>
      </c>
      <c r="K42" t="s">
        <v>186</v>
      </c>
    </row>
    <row r="43" spans="2:11" x14ac:dyDescent="0.2">
      <c r="B43" t="str">
        <v>Christopher Nkunku</v>
      </c>
      <c r="J43">
        <v>38</v>
      </c>
      <c r="K43" t="s">
        <v>191</v>
      </c>
    </row>
    <row r="44" spans="2:11" x14ac:dyDescent="0.2">
      <c r="B44" t="str">
        <v>Milos Kerkez</v>
      </c>
      <c r="J44">
        <v>39</v>
      </c>
      <c r="K44" t="s">
        <v>187</v>
      </c>
    </row>
    <row r="45" spans="2:11" x14ac:dyDescent="0.2">
      <c r="B45" t="str">
        <v>Joakim Andreassen</v>
      </c>
      <c r="J45">
        <v>40</v>
      </c>
      <c r="K45" t="s">
        <v>219</v>
      </c>
    </row>
    <row r="46" spans="2:11" x14ac:dyDescent="0.2">
      <c r="B46" t="str">
        <v>Afonso Correa</v>
      </c>
      <c r="J46">
        <v>41</v>
      </c>
      <c r="K46" t="s">
        <v>220</v>
      </c>
    </row>
    <row r="47" spans="2:11" x14ac:dyDescent="0.2">
      <c r="B47" t="str">
        <v>Bright Akwo Arrey-Mbi</v>
      </c>
      <c r="J47">
        <v>42</v>
      </c>
      <c r="K47" t="s">
        <v>222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EC00158-6E51-4AD1-B380-48F0E26AEC5D}">
  <ds:schemaRefs/>
</ds:datastoreItem>
</file>

<file path=customXml/itemProps2.xml><?xml version="1.0" encoding="utf-8"?>
<ds:datastoreItem xmlns:ds="http://schemas.openxmlformats.org/officeDocument/2006/customXml" ds:itemID="{4A22BAF6-FE34-49AD-ADE3-D4FBF3307673}">
  <ds:schemaRefs/>
</ds:datastoreItem>
</file>

<file path=customXml/itemProps3.xml><?xml version="1.0" encoding="utf-8"?>
<ds:datastoreItem xmlns:ds="http://schemas.openxmlformats.org/officeDocument/2006/customXml" ds:itemID="{5707E16E-75D3-46B3-B2B6-717BA392F604}">
  <ds:schemaRefs/>
</ds:datastoreItem>
</file>

<file path=customXml/itemProps4.xml><?xml version="1.0" encoding="utf-8"?>
<ds:datastoreItem xmlns:ds="http://schemas.openxmlformats.org/officeDocument/2006/customXml" ds:itemID="{11A69654-4A30-4A11-8151-4C6317564EBB}">
  <ds:schemaRefs/>
</ds:datastoreItem>
</file>

<file path=customXml/itemProps5.xml><?xml version="1.0" encoding="utf-8"?>
<ds:datastoreItem xmlns:ds="http://schemas.openxmlformats.org/officeDocument/2006/customXml" ds:itemID="{B1B4CE20-2E7F-4669-94A8-89CBBA442751}">
  <ds:schemaRefs/>
</ds:datastoreItem>
</file>

<file path=customXml/itemProps6.xml><?xml version="1.0" encoding="utf-8"?>
<ds:datastoreItem xmlns:ds="http://schemas.openxmlformats.org/officeDocument/2006/customXml" ds:itemID="{776B5274-A339-41AF-B25E-A5F2256CB362}">
  <ds:schemaRefs/>
</ds:datastoreItem>
</file>

<file path=customXml/itemProps7.xml><?xml version="1.0" encoding="utf-8"?>
<ds:datastoreItem xmlns:ds="http://schemas.openxmlformats.org/officeDocument/2006/customXml" ds:itemID="{AF93BF9E-758B-4F13-9C31-396FF4C2CB5C}">
  <ds:schemaRefs/>
</ds:datastoreItem>
</file>

<file path=customXml/itemProps8.xml><?xml version="1.0" encoding="utf-8"?>
<ds:datastoreItem xmlns:ds="http://schemas.openxmlformats.org/officeDocument/2006/customXml" ds:itemID="{43D56475-FC00-4794-BF44-60D2DC0CE199}">
  <ds:schemaRefs/>
</ds:datastoreItem>
</file>

<file path=customXml/itemProps9.xml><?xml version="1.0" encoding="utf-8"?>
<ds:datastoreItem xmlns:ds="http://schemas.openxmlformats.org/officeDocument/2006/customXml" ds:itemID="{B5D16C25-A890-4299-9CE4-78B63086DED8}">
  <ds:schemaRefs/>
</ds:datastoreItem>
</file>

<file path=customXml/itemProps10.xml><?xml version="1.0" encoding="utf-8"?>
<ds:datastoreItem xmlns:ds="http://schemas.openxmlformats.org/officeDocument/2006/customXml" ds:itemID="{C4D7A237-B9F6-4885-9EA4-9090EE29D55B}">
  <ds:schemaRefs/>
</ds:datastoreItem>
</file>

<file path=customXml/itemProps11.xml><?xml version="1.0" encoding="utf-8"?>
<ds:datastoreItem xmlns:ds="http://schemas.openxmlformats.org/officeDocument/2006/customXml" ds:itemID="{2CF36335-4B75-4454-B63A-7F5E16B7BB3F}">
  <ds:schemaRefs/>
</ds:datastoreItem>
</file>

<file path=customXml/itemProps12.xml><?xml version="1.0" encoding="utf-8"?>
<ds:datastoreItem xmlns:ds="http://schemas.openxmlformats.org/officeDocument/2006/customXml" ds:itemID="{9A1787E7-6897-431F-B280-D1C219D58BE1}">
  <ds:schemaRefs/>
</ds:datastoreItem>
</file>

<file path=customXml/itemProps13.xml><?xml version="1.0" encoding="utf-8"?>
<ds:datastoreItem xmlns:ds="http://schemas.openxmlformats.org/officeDocument/2006/customXml" ds:itemID="{A6903569-EE93-48CD-828B-0ACD5EC95F72}">
  <ds:schemaRefs/>
</ds:datastoreItem>
</file>

<file path=customXml/itemProps14.xml><?xml version="1.0" encoding="utf-8"?>
<ds:datastoreItem xmlns:ds="http://schemas.openxmlformats.org/officeDocument/2006/customXml" ds:itemID="{63E253E8-591E-4D63-9EEC-5D2382FEFEED}">
  <ds:schemaRefs/>
</ds:datastoreItem>
</file>

<file path=customXml/itemProps15.xml><?xml version="1.0" encoding="utf-8"?>
<ds:datastoreItem xmlns:ds="http://schemas.openxmlformats.org/officeDocument/2006/customXml" ds:itemID="{B559ACBE-E6ED-41D4-9DE1-0A735994DFB2}">
  <ds:schemaRefs/>
</ds:datastoreItem>
</file>

<file path=customXml/itemProps16.xml><?xml version="1.0" encoding="utf-8"?>
<ds:datastoreItem xmlns:ds="http://schemas.openxmlformats.org/officeDocument/2006/customXml" ds:itemID="{B165AB9B-BEFD-4DDD-839C-034967E2DE21}">
  <ds:schemaRefs/>
</ds:datastoreItem>
</file>

<file path=customXml/itemProps17.xml><?xml version="1.0" encoding="utf-8"?>
<ds:datastoreItem xmlns:ds="http://schemas.openxmlformats.org/officeDocument/2006/customXml" ds:itemID="{1671E39E-360B-4F94-B819-13DE3BBBA3A4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F897706F-6641-40D8-9DA9-21212B32D56B}">
  <ds:schemaRefs/>
</ds:datastoreItem>
</file>

<file path=customXml/itemProps19.xml><?xml version="1.0" encoding="utf-8"?>
<ds:datastoreItem xmlns:ds="http://schemas.openxmlformats.org/officeDocument/2006/customXml" ds:itemID="{E4D7A9F5-CED4-4BAE-AA8B-E956B09B9350}">
  <ds:schemaRefs/>
</ds:datastoreItem>
</file>

<file path=customXml/itemProps20.xml><?xml version="1.0" encoding="utf-8"?>
<ds:datastoreItem xmlns:ds="http://schemas.openxmlformats.org/officeDocument/2006/customXml" ds:itemID="{E49284DA-C678-40B0-853B-79B50DEE51D5}">
  <ds:schemaRefs/>
</ds:datastoreItem>
</file>

<file path=customXml/itemProps21.xml><?xml version="1.0" encoding="utf-8"?>
<ds:datastoreItem xmlns:ds="http://schemas.openxmlformats.org/officeDocument/2006/customXml" ds:itemID="{6F9B7853-CA65-470D-8C54-0791B36EB43C}">
  <ds:schemaRefs/>
</ds:datastoreItem>
</file>

<file path=customXml/itemProps22.xml><?xml version="1.0" encoding="utf-8"?>
<ds:datastoreItem xmlns:ds="http://schemas.openxmlformats.org/officeDocument/2006/customXml" ds:itemID="{CC43A292-5370-485B-B7F3-2BD237B0BA2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DATOS</vt:lpstr>
      <vt:lpstr>STATS_JUGADORES</vt:lpstr>
      <vt:lpstr>Macro_Finder</vt:lpstr>
      <vt:lpstr>GRÁFICOS</vt:lpstr>
      <vt:lpstr>Dashboard</vt:lpstr>
      <vt:lpstr>Finances_Dashboard</vt:lpstr>
      <vt:lpstr>Pruebas y desechos</vt:lpstr>
      <vt:lpstr>Macro_Finder!Área_de_extracción</vt:lpstr>
      <vt:lpstr>Macro_Finder!Criterios</vt:lpstr>
      <vt:lpstr>STATS_JUGADORES!Gastos</vt:lpstr>
      <vt:lpstr>Finances_Dashboard!SeasonsList</vt:lpstr>
      <vt:lpstr>SeasonsList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Usuario</cp:lastModifiedBy>
  <dcterms:created xsi:type="dcterms:W3CDTF">2023-04-10T12:36:17Z</dcterms:created>
  <dcterms:modified xsi:type="dcterms:W3CDTF">2023-07-10T18:12:48Z</dcterms:modified>
</cp:coreProperties>
</file>